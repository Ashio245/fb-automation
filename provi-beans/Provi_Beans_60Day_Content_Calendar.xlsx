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rategy Overview" sheetId="1" state="visible" r:id="rId3"/>
    <sheet name="60-Day Calendar" sheetId="2" state="visible" r:id="rId4"/>
  </sheets>
  <definedNames>
    <definedName function="false" hidden="true" localSheetId="1" name="_xlnm._FilterDatabase" vbProcedure="false">'60-Day Calendar'!$A$5:$K$65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<sst xmlns="http://schemas.openxmlformats.org/spreadsheetml/2006/main" count="621" uniqueCount="404">
  <si>
    <t xml:space="preserve">PROVI BEANS — 60-DAY CONTENT CALENDAR STRATEGY</t>
  </si>
  <si>
    <t xml:space="preserve">Premium Specialty Coffee | Male-Skewed Audience | Facebook &amp; Instagram</t>
  </si>
  <si>
    <t xml:space="preserve">1. OBJECTIVE</t>
  </si>
  <si>
    <t xml:space="preserve">Primary Goal</t>
  </si>
  <si>
    <t xml:space="preserve">Convert cold and warm audiences into first-time buyers of Provi Beans, then move first-time buyers into repeat B2C customers and standing B2B accounts (cafes, restaurants, hotels), over a 60-day launch runway.</t>
  </si>
  <si>
    <t xml:space="preserve">Secondary Goals</t>
  </si>
  <si>
    <t xml:space="preserve">Build brand recall around the Providence origin story; establish Provi Beans as the premium, traceable, specialty-grade choice; grow an owned community (followers, UGC, repeat engagement) that reduces future paid-acquisition cost.</t>
  </si>
  <si>
    <t xml:space="preserve">2. TARGET AUDIENCE (MALE-SKEWED)</t>
  </si>
  <si>
    <t xml:space="preserve">Primary Persona</t>
  </si>
  <si>
    <t xml:space="preserve">Men 28-45, working professionals, entrepreneurs, and providers (fathers/husbands) in Metro Manila and key urban centers. Value discipline, quality, and standards; respond to messaging about ritual, provision, strength, and quiet consistency rather than indulgence or luxury for its own sake.</t>
  </si>
  <si>
    <t xml:space="preserve">Secondary Persona (B2B)</t>
  </si>
  <si>
    <t xml:space="preserve">Male-led or male-managed cafe, restaurant, and hospitality decision-makers seeking a reliable, consistent, story-rich specialty coffee supplier to differentiate their menu.</t>
  </si>
  <si>
    <t xml:space="preserve">Tertiary Persona</t>
  </si>
  <si>
    <t xml:space="preserve">Faith-driven consumers (any gender) drawn to the covenant-partnership, providence-rooted brand story and its support of Christian farming communities and AMG Philippines.</t>
  </si>
  <si>
    <t xml:space="preserve">3. POSITIONING &amp; MESSAGING PRINCIPLES</t>
  </si>
  <si>
    <t xml:space="preserve">Core Promise</t>
  </si>
  <si>
    <t xml:space="preserve">Premium, specialty-grade, traceable coffee sourced direct from Christian farming communities in Vietnam - freshly roasted, consistently graded, and priced with fairness built in.</t>
  </si>
  <si>
    <t xml:space="preserve">Male-Audience Angle</t>
  </si>
  <si>
    <t xml:space="preserve">Do not sell coffee as indulgence or luxury escape. Sell it as fuel for standards, discipline, and provision: the quiet ritual of men who show up before anyone asks them to - fathers, providers, builders, leaders. Visuals lean toward early mornings, workspaces, gyms, jobsites, and understated strength rather than soft lifestyle staging.</t>
  </si>
  <si>
    <t xml:space="preserve">Tone</t>
  </si>
  <si>
    <t xml:space="preserve">Confident, grounded, and story-led. Faith is present but never preachy; lead with narrative before credentials. Avoid hard-sell language in story posts; reserve direct urgency for the designated 'Offer' post each week.</t>
  </si>
  <si>
    <t xml:space="preserve">4. WEEKLY CONTENT PILLAR RHYTHM</t>
  </si>
  <si>
    <t xml:space="preserve">Monday — Providence Monday</t>
  </si>
  <si>
    <t xml:space="preserve">Brand &amp; faith origin story. Builds emotional connection and differentiation.</t>
  </si>
  <si>
    <t xml:space="preserve">Tuesday — Craft Tuesday</t>
  </si>
  <si>
    <t xml:space="preserve">Product education (grading, roast, Arabica/Robusta, process). Builds credibility &amp; justifies premium price.</t>
  </si>
  <si>
    <t xml:space="preserve">Wednesday — Grind Wednesday</t>
  </si>
  <si>
    <t xml:space="preserve">Male-focused ritual &amp; discipline content (reels). Builds identity/aspiration connection - the core conversion driver for this audience.</t>
  </si>
  <si>
    <t xml:space="preserve">Thursday — Roots Thursday</t>
  </si>
  <si>
    <t xml:space="preserve">Farmer &amp; sourcing story from Vietnam. Builds trust, traceability, and ethical differentiation.</t>
  </si>
  <si>
    <t xml:space="preserve">Friday — Proof Friday</t>
  </si>
  <si>
    <t xml:space="preserve">Testimonials, B2B partner proof, social proof. Builds trust ahead of the weekend buying window.</t>
  </si>
  <si>
    <t xml:space="preserve">Saturday — Offer Saturday</t>
  </si>
  <si>
    <t xml:space="preserve">Direct CTA, bundle, promo, or urgency-driven post. This is the primary conversion post of the week.</t>
  </si>
  <si>
    <t xml:space="preserve">Sunday — Purpose Sunday</t>
  </si>
  <si>
    <t xml:space="preserve">Community engagement: polls, questions, UGC reposts, AMG Philippines / circular-economy impact stories.</t>
  </si>
  <si>
    <t xml:space="preserve">5. PLATFORM &amp; FORMAT MIX</t>
  </si>
  <si>
    <t xml:space="preserve">Facebook</t>
  </si>
  <si>
    <t xml:space="preserve">Primary platform for story-led, long-form posts (Monday origin story, Thursday farmer story, Saturday offers). Philippine B2B decision-makers and the faith community over-index here.</t>
  </si>
  <si>
    <t xml:space="preserve">Instagram</t>
  </si>
  <si>
    <t xml:space="preserve">Primary platform for Reels (Wednesday ritual content) and visual carousels (Tuesday education). Use for discovery and reach with the 28-40 male demographic.</t>
  </si>
  <si>
    <t xml:space="preserve">Boosted Posts</t>
  </si>
  <si>
    <t xml:space="preserve">Boost every Saturday 'Offer' post with a small paid budget targeting males 25-45 in Metro Manila with interests in coffee, business, fitness, and productivity. Retarget engagers from Wed/Thu content.</t>
  </si>
  <si>
    <t xml:space="preserve">6. FUNNEL LOGIC ACROSS 60 DAYS</t>
  </si>
  <si>
    <t xml:space="preserve">Days 1-14 (Weeks 1-2)</t>
  </si>
  <si>
    <t xml:space="preserve">AWARENESS: Launch + origin story. Goal - introduce the brand, seed the founding narrative, generate first-batch orders via founding pricing.</t>
  </si>
  <si>
    <t xml:space="preserve">Days 15-35 (Weeks 3-5)</t>
  </si>
  <si>
    <t xml:space="preserve">CONSIDERATION: Farmers, craft/education, ritual identity content. Goal - build trust and desirability; convert warm followers into first purchase; open B2B conversations.</t>
  </si>
  <si>
    <t xml:space="preserve">Days 36-49 (Weeks 6-7)</t>
  </si>
  <si>
    <t xml:space="preserve">TRUST &amp; PURPOSE: Testimonials, proof, circular economy, AMG Philippines impact. Goal - reduce purchase hesitation, differentiate on ethics/impact, activate faith-community segment.</t>
  </si>
  <si>
    <t xml:space="preserve">Days 50-60 (Weeks 8-9)</t>
  </si>
  <si>
    <t xml:space="preserve">CONVERSION SPRINT: Comparison content, flash bundles, urgency offers, recap + thank-you. Goal - maximize orders before the campaign closes and seed the next content cycle.</t>
  </si>
  <si>
    <t xml:space="preserve">7. CALL-TO-ACTION LADDER</t>
  </si>
  <si>
    <t xml:space="preserve">Awareness posts (Mon/Thu/Sun)</t>
  </si>
  <si>
    <t xml:space="preserve">Soft CTA - follow, read more, comment, tag a friend.</t>
  </si>
  <si>
    <t xml:space="preserve">Consideration posts (Tue/Wed)</t>
  </si>
  <si>
    <t xml:space="preserve">Medium CTA - message us, ask us, try this tip, find your match.</t>
  </si>
  <si>
    <t xml:space="preserve">Conversion posts (Fri/Sat)</t>
  </si>
  <si>
    <t xml:space="preserve">Direct CTA - order now, claim the bundle, inquire about wholesale, link in bio.</t>
  </si>
  <si>
    <t xml:space="preserve">8. KPIs TO TRACK</t>
  </si>
  <si>
    <t xml:space="preserve">Awareness</t>
  </si>
  <si>
    <t xml:space="preserve">Reach, video views (Reels), follower growth, story-post shares.</t>
  </si>
  <si>
    <t xml:space="preserve">Engagement</t>
  </si>
  <si>
    <t xml:space="preserve">Comments/saves on Tue/Wed/Sun posts, UGC submissions, poll participation.</t>
  </si>
  <si>
    <t xml:space="preserve">Conversion</t>
  </si>
  <si>
    <t xml:space="preserve">Orders per Saturday offer post, wholesale inquiries generated from Friday proof posts, referral tags from Sunday CTA posts, repeat-order rate by Day 60.</t>
  </si>
  <si>
    <t xml:space="preserve">See the '60-Day Calendar' tab for the full day-by-day posting schedule with hooks, visual direction, captions, CTAs, and hashtags. Dates are left as Day 1-Day 60 placeholders — enter your actual launch date in the tab's header cell and the Date column will guide manual scheduling.</t>
  </si>
  <si>
    <t xml:space="preserve">PROVI BEANS — 60-DAY CONTENT CALENDAR</t>
  </si>
  <si>
    <t xml:space="preserve">Launch Date (edit B3 below to set your Day-1 date; Date column recalculates automatically)</t>
  </si>
  <si>
    <t xml:space="preserve">Launch Date:</t>
  </si>
  <si>
    <t xml:space="preserve">Day #</t>
  </si>
  <si>
    <t xml:space="preserve">Date
(from launch)</t>
  </si>
  <si>
    <t xml:space="preserve">Weekday</t>
  </si>
  <si>
    <t xml:space="preserve">Content Pillar</t>
  </si>
  <si>
    <t xml:space="preserve">Platform</t>
  </si>
  <si>
    <t xml:space="preserve">Format</t>
  </si>
  <si>
    <t xml:space="preserve">Hook / Headline</t>
  </si>
  <si>
    <t xml:space="preserve">Visual Direction</t>
  </si>
  <si>
    <t xml:space="preserve">Caption</t>
  </si>
  <si>
    <t xml:space="preserve">CTA</t>
  </si>
  <si>
    <t xml:space="preserve">Hashtags</t>
  </si>
  <si>
    <t xml:space="preserve">Monday</t>
  </si>
  <si>
    <t xml:space="preserve">Providence Monday — Brand/Faith Story</t>
  </si>
  <si>
    <t xml:space="preserve">Long-form story post + photo</t>
  </si>
  <si>
    <t xml:space="preserve">We didn't set out to build a coffee brand. We set out to obey a calling.</t>
  </si>
  <si>
    <t xml:space="preserve">Founder-style portrait or hands holding green coffee cherries, warm morning light, text overlay of the hook.</t>
  </si>
  <si>
    <t xml:space="preserve">Provi Beans didn't start with a business plan. It started with a mission that took an unexpected turn — from preparing to serve overseas, to building something right here that still carries the same purpose. This week, we're finally telling that story.</t>
  </si>
  <si>
    <t xml:space="preserve">Follow along this week as we share how Provi Beans came to be.</t>
  </si>
  <si>
    <t xml:space="preserve">#ProviBeans #SpecialtyCoffeePH #CoffeeWithPurpose #PhilippineCoffee #FaithAndBusiness</t>
  </si>
  <si>
    <t xml:space="preserve">Tuesday</t>
  </si>
  <si>
    <t xml:space="preserve">Craft Tuesday — Product Education</t>
  </si>
  <si>
    <t xml:space="preserve">Facebook + IG</t>
  </si>
  <si>
    <t xml:space="preserve">Carousel (education)</t>
  </si>
  <si>
    <t xml:space="preserve">Not all coffee is created equal. Here's what 'specialty grade' actually means.</t>
  </si>
  <si>
    <t xml:space="preserve">Carousel: Slide 1 title, Slides 2-4 comparing specialty vs commercial grade beans with simple icons/graphics.</t>
  </si>
  <si>
    <t xml:space="preserve">"Specialty grade" isn't a marketing word — it's a scoring standard. Beans are graded on defect count, flavor, aroma, and consistency. Provi Beans only carries beans that meet that bar, sourced directly from farms in Vietnam, so every batch tastes like it was meant to.</t>
  </si>
  <si>
    <t xml:space="preserve">Swipe through to see the difference for yourself.</t>
  </si>
  <si>
    <t xml:space="preserve">#SpecialtyCoffee #CoffeeEducation #ArabicaRobusta #ProviBeans #CoffeeSourcing</t>
  </si>
  <si>
    <t xml:space="preserve">Wednesday</t>
  </si>
  <si>
    <t xml:space="preserve">Grind Wednesday — Ritual &amp; Discipline (Male-Focused)</t>
  </si>
  <si>
    <t xml:space="preserve">Reel / short video</t>
  </si>
  <si>
    <t xml:space="preserve">Every great day starts with one deliberate choice.</t>
  </si>
  <si>
    <t xml:space="preserve">Short reel: alarm clock, pour-over or moka pot brewing in low light, man heading out the door with a travel mug.</t>
  </si>
  <si>
    <t xml:space="preserve">Before the meetings. Before the deadlines. Before anyone needs anything from you — there's this. One cup, made with intention. That's the standard we brew to.</t>
  </si>
  <si>
    <t xml:space="preserve">Start your day the deliberate way. Order your first bag today.</t>
  </si>
  <si>
    <t xml:space="preserve">#GrindWednesday #MorningRitual #CoffeeRitual #ProviBeans #DisciplineDaily</t>
  </si>
  <si>
    <t xml:space="preserve">Thursday</t>
  </si>
  <si>
    <t xml:space="preserve">Roots Thursday — Farmer &amp; Sourcing Story</t>
  </si>
  <si>
    <t xml:space="preserve">Photo story post</t>
  </si>
  <si>
    <t xml:space="preserve">Meet the hills where your coffee begins.</t>
  </si>
  <si>
    <t xml:space="preserve">Landscape photo of Vietnamese coffee farmland, terraced hills, farmers at work (sourced/stock or partner-provided imagery).</t>
  </si>
  <si>
    <t xml:space="preserve">Long before it's your morning cup, your coffee is a cherry on a hillside in Vietnam, tended by Christian farming families who've worked this land for generations. Provi Beans exists to carry their harvest — and their story — all the way to your table.</t>
  </si>
  <si>
    <t xml:space="preserve">Learn more about the farmers behind your coffee this Thursday.</t>
  </si>
  <si>
    <t xml:space="preserve">#RootsThursday #VietnamCoffee #FarmToCup #ProviBeans #EthicalSourcing</t>
  </si>
  <si>
    <t xml:space="preserve">Friday</t>
  </si>
  <si>
    <t xml:space="preserve">Proof Friday — Trust &amp; Testimonials</t>
  </si>
  <si>
    <t xml:space="preserve">Testimonial graphic / screenshot</t>
  </si>
  <si>
    <t xml:space="preserve">First reactions are in.</t>
  </si>
  <si>
    <t xml:space="preserve">Screenshot-style graphic of early taster/partner quotes (2-3 short lines) on a clean branded template.</t>
  </si>
  <si>
    <t xml:space="preserve">Before we opened orders to the public, a handful of café owners and coffee lovers got an early taste of Provi Beans. Here's what they said — no script, no filter.</t>
  </si>
  <si>
    <t xml:space="preserve">Want to be next? Order your first bag this weekend.</t>
  </si>
  <si>
    <t xml:space="preserve">#ProofFriday #CustomerFeedback #ProviBeans #SpecialtyCoffeePH #TasteTheDifference</t>
  </si>
  <si>
    <t xml:space="preserve">Saturday</t>
  </si>
  <si>
    <t xml:space="preserve">Offer Saturday — Promo &amp; Direct CTA</t>
  </si>
  <si>
    <t xml:space="preserve">Facebook + IG (Boosted)</t>
  </si>
  <si>
    <t xml:space="preserve">Product photo + offer graphic</t>
  </si>
  <si>
    <t xml:space="preserve">Provi Beans is officially open for orders.</t>
  </si>
  <si>
    <t xml:space="preserve">Clean hero product shot — bag of coffee, branded packaging, neutral background, price/CTA overlay.</t>
  </si>
  <si>
    <t xml:space="preserve">This is the day we've been building toward. Provi Beans — premium, specialty-grade coffee, sourced direct from Christian farming communities in Vietnam — is now available to order. Arabica, Robusta, and single-origin options ready for your café, your office, or your kitchen counter.</t>
  </si>
  <si>
    <t xml:space="preserve">Message us or visit the link in bio to place your first order today.</t>
  </si>
  <si>
    <t xml:space="preserve">#OfferSaturday #NowAvailable #ProviBeans #PremiumCoffeePH #LaunchDay</t>
  </si>
  <si>
    <t xml:space="preserve">Sunday</t>
  </si>
  <si>
    <t xml:space="preserve">Purpose Sunday — Community &amp; Engagement</t>
  </si>
  <si>
    <t xml:space="preserve">Instagram + FB Stories</t>
  </si>
  <si>
    <t xml:space="preserve">Poll / UGC repost / question sticker</t>
  </si>
  <si>
    <t xml:space="preserve">Whose hands built your morning ritual? Tell us in the comments.</t>
  </si>
  <si>
    <t xml:space="preserve">Simple engagement graphic — cup of coffee, question text, inviting comment icons.</t>
  </si>
  <si>
    <t xml:space="preserve">Every cup has a chain of hands behind it — the farmer, the roaster, the one who hands it to you. Today, we're just asking: what does your coffee ritual look like, and who taught it to you?</t>
  </si>
  <si>
    <t xml:space="preserve">Drop your answer below — we read every comment.</t>
  </si>
  <si>
    <t xml:space="preserve">#PurposeSunday #CoffeeCommunity #ProviBeans #MorningRitual #ShareYourStory</t>
  </si>
  <si>
    <t xml:space="preserve">It started with a mission trip that never happened.</t>
  </si>
  <si>
    <t xml:space="preserve">Split image: a road/path photo on one side, coffee farm on the other — visual metaphor for the redirected calling.</t>
  </si>
  <si>
    <t xml:space="preserve">Years ago, the plan was simple: go overseas, serve where it was needed most. Instead, the road led to the Philippines, to an engineering firm built with no engineering background, and eventually, to coffee. Providence rarely explains itself in advance.</t>
  </si>
  <si>
    <t xml:space="preserve">Read the full story — link in bio.</t>
  </si>
  <si>
    <t xml:space="preserve">#ProvidenceMonday #ProviBeans #FaithJourney #CalledNotPlanned #CoffeeStory</t>
  </si>
  <si>
    <t xml:space="preserve">Arabica or Robusta? Here's how to choose like a pro.</t>
  </si>
  <si>
    <t xml:space="preserve">Carousel comparing flavor notes, caffeine content, and best-use cases for Arabica vs Robusta, with simple icons.</t>
  </si>
  <si>
    <t xml:space="preserve">Arabica brings smooth, complex flavor notes — ideal for pour-over or light roasts. Robusta brings bold strength and higher caffeine — built for espresso and those who need the extra push. Provi Beans carries both, sourced and graded for consistency batch after batch.</t>
  </si>
  <si>
    <t xml:space="preserve">Not sure which one fits your taste? Message us for a recommendation.</t>
  </si>
  <si>
    <t xml:space="preserve">#CraftTuesday #ArabicaVsRobusta #CoffeeEducation #ProviBeans #CoffeeGuide</t>
  </si>
  <si>
    <t xml:space="preserve">Discipline isn't loud. It's a 5am cup and a quiet decision to show up.</t>
  </si>
  <si>
    <t xml:space="preserve">Reel: dark kitchen, single light on, coffee being poured, subtle text overlay with the hook line.</t>
  </si>
  <si>
    <t xml:space="preserve">Nobody claps when you wake up before your alarm. Nobody's watching when you choose the harder, better version of your morning. But that quiet discipline is what separates the men who build something from the men who wait for something to happen.</t>
  </si>
  <si>
    <t xml:space="preserve">What's non-negotiable in your morning? Tell us below.</t>
  </si>
  <si>
    <t xml:space="preserve">#GrindWednesday #Discipline #MorningRitual #ProviBeans #ShowUp</t>
  </si>
  <si>
    <t xml:space="preserve">Meet Sir Arnold — 35 years, one country, one calling.</t>
  </si>
  <si>
    <t xml:space="preserve">Portrait-style photo (or illustrated silhouette if no photo available) with a short bio caption card.</t>
  </si>
  <si>
    <t xml:space="preserve">Sir Arnold spent over three decades living and loving Vietnam. What began as an appreciation for good coffee slowly became something closer to ministry — walking alongside Christian farmers, learning their land, and carrying their story home. Provi Beans exists because of that decades-long faithfulness.</t>
  </si>
  <si>
    <t xml:space="preserve">Meet the people behind the beans — follow the story all week.</t>
  </si>
  <si>
    <t xml:space="preserve">#RootsThursday #ProviBeans #VietnamCoffee #FarmerStories #CoffeeWithAPurpose</t>
  </si>
  <si>
    <t xml:space="preserve">"This is the best cup I've had from a Filipino distributor." — early partner feedback</t>
  </si>
  <si>
    <t xml:space="preserve">Quote graphic styled like a text message or review card, branded colors.</t>
  </si>
  <si>
    <t xml:space="preserve">We don't take feedback like this lightly. Every comment from a café owner or home brewer tells us the sourcing, the roast, and the care are landing the way they should.</t>
  </si>
  <si>
    <t xml:space="preserve">Ready to taste it yourself? Order your bag this weekend.</t>
  </si>
  <si>
    <t xml:space="preserve">#ProofFriday #ProviBeans #CustomerLove #SpecialtyCoffeePH #TasteTest</t>
  </si>
  <si>
    <t xml:space="preserve">Limited founding-batch pricing ends soon.</t>
  </si>
  <si>
    <t xml:space="preserve">Product shot with a countdown-style graphic overlay (e.g., "Founding Price — Ends Sunday").</t>
  </si>
  <si>
    <t xml:space="preserve">Our first batches are priced as a thank-you to the earliest supporters of this story. Once this run sells out, pricing shifts to standard. If you've been waiting to try Provi Beans, this is the window.</t>
  </si>
  <si>
    <t xml:space="preserve">Lock in founding pricing — order before it's gone.</t>
  </si>
  <si>
    <t xml:space="preserve">#OfferSaturday #LimitedOffer #ProviBeans #FoundingBatch #PremiumCoffeePH</t>
  </si>
  <si>
    <t xml:space="preserve">What does 'provision' mean to you? We want to hear your story.</t>
  </si>
  <si>
    <t xml:space="preserve">Simple text-on-background engagement graphic, warm tone, question format.</t>
  </si>
  <si>
    <t xml:space="preserve">Provi is short for Providence — because we believe every good thing that reaches us was provided, not earned alone. This week we're asking our community: when has provision shown up in your life in a way you didn't expect?</t>
  </si>
  <si>
    <t xml:space="preserve">Share your story in the comments — we might feature it.</t>
  </si>
  <si>
    <t xml:space="preserve">#PurposeSunday #ProviBeans #Providence #FaithCommunity #ShareYourStory</t>
  </si>
  <si>
    <t xml:space="preserve">An engineering firm with no engineers. A coffee brand with no coffee background. Sound familiar?</t>
  </si>
  <si>
    <t xml:space="preserve">Behind-the-scenes photo of the team working, laptop/blueprints next to a coffee cup — bridging both ventures visually.</t>
  </si>
  <si>
    <t xml:space="preserve">Faith has a pattern: it rarely waits for you to feel ready. The same conviction that built an engineering firm from nothing is the conviction behind Provi Beans. We didn't wait until we had all the answers. We said yes, then learned as we went.</t>
  </si>
  <si>
    <t xml:space="preserve">Read how obedience — not expertise — built this brand. Link in bio.</t>
  </si>
  <si>
    <t xml:space="preserve">#ProvidenceMonday #ProviBeans #FaithOverFear #EntrepreneurStory #ObedientCourage</t>
  </si>
  <si>
    <t xml:space="preserve">Small-batch roasting: why freshness is non-negotiable.</t>
  </si>
  <si>
    <t xml:space="preserve">Carousel: roasting process visuals, freshness timeline graphic (roast date vs shelf life).</t>
  </si>
  <si>
    <t xml:space="preserve">Coffee starts losing its best flavor within weeks of roasting. That's why Provi Beans roasts in small batches — so what reaches your cup is close to peak freshness, not sitting in a warehouse for months.</t>
  </si>
  <si>
    <t xml:space="preserve">Ask us about our latest roast date — DM us anytime.</t>
  </si>
  <si>
    <t xml:space="preserve">#CraftTuesday #FreshRoast #SmallBatch #ProviBeans #CoffeeEducation</t>
  </si>
  <si>
    <t xml:space="preserve">The man who wins the morning wins the day.</t>
  </si>
  <si>
    <t xml:space="preserve">Reel: quick montage — early workout, coffee brewing, stepping out the door with purpose.</t>
  </si>
  <si>
    <t xml:space="preserve">It's not about the hour on the clock. It's about who's in control of it — you, or your schedule. Winning the morning starts with small, deliberate choices. Coffee is just the first one.</t>
  </si>
  <si>
    <t xml:space="preserve">Tag someone who needs to hear this today.</t>
  </si>
  <si>
    <t xml:space="preserve">#GrindWednesday #WinTheMorning #ProviBeans #Discipline #MorningRoutine</t>
  </si>
  <si>
    <t xml:space="preserve">Joseph doesn't just grow coffee. He shepherds a community.</t>
  </si>
  <si>
    <t xml:space="preserve">Photo of Vietnamese farmland or farmer at work, warm documentary-style lighting.</t>
  </si>
  <si>
    <t xml:space="preserve">In Vietnam, Joseph walks alongside Christian coffee farmers — not just to help them grow better beans, but to nurture their faith and give their work lasting dignity. Every Provi Beans order carries that mission forward.</t>
  </si>
  <si>
    <t xml:space="preserve">Learn more about the community behind your coffee.</t>
  </si>
  <si>
    <t xml:space="preserve">#RootsThursday #ProviBeans #VietnamCoffee #FarmerDignity #CoffeeWithPurpose</t>
  </si>
  <si>
    <t xml:space="preserve">Café owners are already reordering. Here's why.</t>
  </si>
  <si>
    <t xml:space="preserve">Simple stat/quote graphic: "3 café partners. 100% reorder rate. Here's why."</t>
  </si>
  <si>
    <t xml:space="preserve">Consistency is the hardest thing to get right in coffee sourcing — and it's the first thing café owners notice when it's missing. Since our first orders went out, every café partner has come back for more.</t>
  </si>
  <si>
    <t xml:space="preserve">Own a café or restaurant? Message us about wholesale pricing.</t>
  </si>
  <si>
    <t xml:space="preserve">#ProofFriday #ProviBeans #B2BCoffee #CafePartner #SpecialtyCoffeePH</t>
  </si>
  <si>
    <t xml:space="preserve">Bundle deal: Try all 3 origins, save on your first case.</t>
  </si>
  <si>
    <t xml:space="preserve">Product flat-lay: three coffee bag variants arranged with a bundle price tag graphic.</t>
  </si>
  <si>
    <t xml:space="preserve">Can't decide which roast fits you best? This bundle lets you try our full origin lineup at a better price than buying separately — perfect for finding your favorite.</t>
  </si>
  <si>
    <t xml:space="preserve">Grab the discovery bundle while stocks last — link in bio.</t>
  </si>
  <si>
    <t xml:space="preserve">#OfferSaturday #ProviBeans #CoffeeBundle #TryItAll #PremiumCoffeePH</t>
  </si>
  <si>
    <t xml:space="preserve">Tag someone who needs a better cup of coffee this week.</t>
  </si>
  <si>
    <t xml:space="preserve">Simple, bold graphic: "Tag a friend who deserves better coffee."</t>
  </si>
  <si>
    <t xml:space="preserve">You know the person — the one still settling for instant sachets when they could be starting their day right. Do them a favor.</t>
  </si>
  <si>
    <t xml:space="preserve">Tag them below. We'll even throw in a referral discount.</t>
  </si>
  <si>
    <t xml:space="preserve">#PurposeSunday #ProviBeans #TagAFriend #ReferAFriend #SpecialtyCoffeePH</t>
  </si>
  <si>
    <t xml:space="preserve">Providence brought two strangers together over a shared love of coffee.</t>
  </si>
  <si>
    <t xml:space="preserve">Illustrative photo: two coffee cups side by side, warm tones, subtle storytelling composition.</t>
  </si>
  <si>
    <t xml:space="preserve">A Filipino building a business he never trained for. A Vietnam-based executive with three decades of local relationships. Neither was looking for the other — but when their stories intersected, Provi Beans became the natural result.</t>
  </si>
  <si>
    <t xml:space="preserve">Catch up on the full origin story — link in bio.</t>
  </si>
  <si>
    <t xml:space="preserve">#ProvidenceMonday #ProviBeans #DivineIntersection #CoffeeStory #FaithDriven</t>
  </si>
  <si>
    <t xml:space="preserve">From cherry to cup: the journey your beans take before they reach you.</t>
  </si>
  <si>
    <t xml:space="preserve">Carousel: step-by-step graphic — harvest, wash/process, dry, roast, pack, ship.</t>
  </si>
  <si>
    <t xml:space="preserve">Every bag of Provi Beans passes through a chain of careful hands — farmers who hand-pick ripe cherries, processors who protect flavor at every stage, and roasters who bring it all together. That chain is why the cup tastes the way it does.</t>
  </si>
  <si>
    <t xml:space="preserve">Swipe to see the full journey.</t>
  </si>
  <si>
    <t xml:space="preserve">#CraftTuesday #FarmToCup #ProviBeans #CoffeeProcess #CoffeeEducation</t>
  </si>
  <si>
    <t xml:space="preserve">You don't rise to the level of your goals. You fall to the level of your habits — and your coffee.</t>
  </si>
  <si>
    <t xml:space="preserve">Reel: side-by-side of a rushed instant-coffee morning vs. an intentional Provi Beans brew — visual contrast.</t>
  </si>
  <si>
    <t xml:space="preserve">Small standards compound. The coffee you settle for on a random Tuesday says something about the standard you're willing to accept everywhere else. Raise it.</t>
  </si>
  <si>
    <t xml:space="preserve">Raise your standard — order your first bag today.</t>
  </si>
  <si>
    <t xml:space="preserve">#GrindWednesday #RaiseYourStandard #ProviBeans #Habits #Discipline</t>
  </si>
  <si>
    <t xml:space="preserve">The hills of Vietnam hold more than beans. They hold decades of faith.</t>
  </si>
  <si>
    <t xml:space="preserve">Wide landscape shot of coffee terraces at golden hour.</t>
  </si>
  <si>
    <t xml:space="preserve">Coffee farming in these hills isn't a business venture for most of the families who do it — it's inherited land, inherited faith, and inherited hope for the next generation. Provi Beans is one small link in a much longer story.</t>
  </si>
  <si>
    <t xml:space="preserve">Follow along as we continue sharing their story.</t>
  </si>
  <si>
    <t xml:space="preserve">#RootsThursday #ProviBeans #VietnamCoffee #FarmerStories #FaithAndWork</t>
  </si>
  <si>
    <t xml:space="preserve">Hospitality businesses trust Provi Beans for consistency. Here's what that means for your guests.</t>
  </si>
  <si>
    <t xml:space="preserve">Testimonial-style graphic from a hotel/restaurant partner (real or illustrative placeholder pending real quotes).</t>
  </si>
  <si>
    <t xml:space="preserve">Guests notice when a coffee menu is inconsistent — weak one visit, bitter the next. Our small-batch, quality-graded sourcing means your kitchen gets the same standard, order after order.</t>
  </si>
  <si>
    <t xml:space="preserve">Elevate your guest experience — inquire about wholesale supply.</t>
  </si>
  <si>
    <t xml:space="preserve">#ProofFriday #ProviBeans #HospitalityPartner #B2BCoffee #ConsistentQuality</t>
  </si>
  <si>
    <t xml:space="preserve">New stock just landed. First 20 orders get free shipping in Metro Manila.</t>
  </si>
  <si>
    <t xml:space="preserve">Product photo with fresh stock stacked, "Free Shipping — First 20 Orders" graphic overlay.</t>
  </si>
  <si>
    <t xml:space="preserve">Fresh batch, freshly roasted, ready to ship. The first 20 orders this weekend get free delivery within Metro Manila — no code needed, it's applied automatically.</t>
  </si>
  <si>
    <t xml:space="preserve">Order now before the free-shipping slots run out.</t>
  </si>
  <si>
    <t xml:space="preserve">#OfferSaturday #ProviBeans #FreeShipping #FreshStock #PremiumCoffeePH</t>
  </si>
  <si>
    <t xml:space="preserve">Coffee ritual check: black, cream, or something stronger? Drop your order below.</t>
  </si>
  <si>
    <t xml:space="preserve">Playful poll-style graphic with 3 options.</t>
  </si>
  <si>
    <t xml:space="preserve">No wrong answers here — just curious how our community takes their cup. Vote below and tell us why.</t>
  </si>
  <si>
    <t xml:space="preserve">Comment your go-to order — we'll share the results next week.</t>
  </si>
  <si>
    <t xml:space="preserve">#PurposeSunday #ProviBeans #CoffeePoll #CoffeeCommunity #HowDoYouTakeYourCoffee</t>
  </si>
  <si>
    <t xml:space="preserve">Faith rarely makes sense on paper. Neither does a good origin story.</t>
  </si>
  <si>
    <t xml:space="preserve">Text-forward graphic, minimal design, quote-style with brand watermark.</t>
  </si>
  <si>
    <t xml:space="preserve">If we had waited for the business plan to make perfect sense, Provi Beans wouldn't exist. Some of the best things we build are the ones we say yes to before we fully understand them.</t>
  </si>
  <si>
    <t xml:space="preserve">New to our story? Start here — link in bio.</t>
  </si>
  <si>
    <t xml:space="preserve">#ProvidenceMonday #ProviBeans #FaithNotFormula #ObedientCourage #CoffeeStory</t>
  </si>
  <si>
    <t xml:space="preserve">Traceability isn't a buzzword here — it's a promise.</t>
  </si>
  <si>
    <t xml:space="preserve">Carousel: map graphic showing farm region in Vietnam to Philippine distribution, with checkpoints marked.</t>
  </si>
  <si>
    <t xml:space="preserve">We can tell you exactly which region your beans came from, and the community behind that harvest. In an industry where sourcing is often vague, that's not a marketing point — it's how we operate.</t>
  </si>
  <si>
    <t xml:space="preserve">Ask us where your bag was sourced — we'll tell you.</t>
  </si>
  <si>
    <t xml:space="preserve">#CraftTuesday #Traceability #ProviBeans #EthicalSourcing #KnowYourCoffee</t>
  </si>
  <si>
    <t xml:space="preserve">Fathers, providers, builders — this one's for the men who show up before the sun does.</t>
  </si>
  <si>
    <t xml:space="preserve">Reel: quiet home scene, man brewing coffee before family wakes, subtle and dignified tone.</t>
  </si>
  <si>
    <t xml:space="preserve">Nobody sees the 5am version of you — the one who's already thinking about the people counting on you. This cup is for that version. Quiet, strong, unseen, and steady.</t>
  </si>
  <si>
    <t xml:space="preserve">Brew the cup that matches the standard you hold yourself to.</t>
  </si>
  <si>
    <t xml:space="preserve">#GrindWednesday #ForTheProviders #ProviBeans #FatherhoodAndFaith #ShowUpDaily</t>
  </si>
  <si>
    <t xml:space="preserve">Every bag you buy carries a farmer's dignity forward.</t>
  </si>
  <si>
    <t xml:space="preserve">Photo of hands sorting or holding coffee cherries, close-up, natural light.</t>
  </si>
  <si>
    <t xml:space="preserve">Fair pricing and steady demand mean farming families in Vietnam can plan for tomorrow, not just survive today. That's the quiet economics behind every Provi Beans order — dignity, not charity.</t>
  </si>
  <si>
    <t xml:space="preserve">Support dignified sourcing — shop Provi Beans today.</t>
  </si>
  <si>
    <t xml:space="preserve">#RootsThursday #ProviBeans #DignityInEveryHarvest #FairSourcing #VietnamCoffee</t>
  </si>
  <si>
    <t xml:space="preserve">From one case to a standing weekly order — a café owner's story.</t>
  </si>
  <si>
    <t xml:space="preserve">Before/after style graphic: "1 case → weekly standing order" with a short quote.</t>
  </si>
  <si>
    <t xml:space="preserve">One café started with a trial order, unsure if the quality would hold up. Three months later, Provi Beans is their standing weekly supply. Consistency does the convincing.</t>
  </si>
  <si>
    <t xml:space="preserve">Start your own trial order today — inquire via DM.</t>
  </si>
  <si>
    <t xml:space="preserve">#ProofFriday #ProviBeans #CafePartner #B2BCoffee #TrustedSupplier</t>
  </si>
  <si>
    <t xml:space="preserve">Weekend restock: grab your case before Monday's grind.</t>
  </si>
  <si>
    <t xml:space="preserve">Product shot styled for weekend prep — beans, mug, planner/notebook nearby.</t>
  </si>
  <si>
    <t xml:space="preserve">The week ahead doesn't wait for you to be ready. Stock your kitchen or office now so Monday doesn't catch you without your standard cup.</t>
  </si>
  <si>
    <t xml:space="preserve">Order today for weekend delivery.</t>
  </si>
  <si>
    <t xml:space="preserve">#OfferSaturday #ProviBeans #WeekendRestock #ReadyForMonday #PremiumCoffeePH</t>
  </si>
  <si>
    <t xml:space="preserve">What's the one thing you can't start your day without?</t>
  </si>
  <si>
    <t xml:space="preserve">Simple engagement graphic — open-ended question, minimal branding.</t>
  </si>
  <si>
    <t xml:space="preserve">For some it's coffee. For others it's a workout, a prayer, a plan for the day. Tell us your non-negotiable.</t>
  </si>
  <si>
    <t xml:space="preserve">Comment below — we'll feature our favorite answers.</t>
  </si>
  <si>
    <t xml:space="preserve">#PurposeSunday #ProviBeans #DailyRitual #CoffeeCommunity #NonNegotiable</t>
  </si>
  <si>
    <t xml:space="preserve">We said yes before we understood the plan. That's still how we operate.</t>
  </si>
  <si>
    <t xml:space="preserve">Founder-style photo or hands-on-work image with quote overlay.</t>
  </si>
  <si>
    <t xml:space="preserve">Every major step in this story — the engineering firm, the coffee partnership, the decision to distribute in the Philippines — started the same way: obedience first, clarity later. We've stopped waiting for certainty before we move.</t>
  </si>
  <si>
    <t xml:space="preserve">Follow the story that's still being written — link in bio.</t>
  </si>
  <si>
    <t xml:space="preserve">#ProvidenceMonday #ProviBeans #FaithInAction #ObedientCourage #CoffeeStory</t>
  </si>
  <si>
    <t xml:space="preserve">Why 'freshly roasted' matters more than the label on the bag.</t>
  </si>
  <si>
    <t xml:space="preserve">Carousel: roast-date comparison, flavor degradation timeline, simple visual chart.</t>
  </si>
  <si>
    <t xml:space="preserve">A bag that says "premium" but has no roast date is a red flag, not a feature. Provi Beans labels every batch with its roast date — because you deserve to know exactly how fresh your cup really is.</t>
  </si>
  <si>
    <t xml:space="preserve">Check the roast date on your next bag. Ours is always visible.</t>
  </si>
  <si>
    <t xml:space="preserve">#CraftTuesday #FreshlyRoasted #ProviBeans #CoffeeTransparency #CoffeeEducation</t>
  </si>
  <si>
    <t xml:space="preserve">Strength isn't the absence of tiredness. It's showing up anyway — cup in hand.</t>
  </si>
  <si>
    <t xml:space="preserve">Reel: gym or worksite footage transitioning to coffee brewing, gritty tone.</t>
  </si>
  <si>
    <t xml:space="preserve">Some mornings, the tank is already low before the day even starts. That's exactly when the standard matters most. Brew it right, and go anyway.</t>
  </si>
  <si>
    <t xml:space="preserve">Fuel the version of you that shows up regardless.</t>
  </si>
  <si>
    <t xml:space="preserve">#GrindWednesday #ShowUpAnyway #ProviBeans #Grit #MorningFuel</t>
  </si>
  <si>
    <t xml:space="preserve">The farmers behind your beans don't get a byline. Today, they do.</t>
  </si>
  <si>
    <t xml:space="preserve">Portrait-style photo of farming hands or fields, documentary tone.</t>
  </si>
  <si>
    <t xml:space="preserve">Every industry has people whose work rarely gets named. In coffee, it's the farmer. Today's post is simply to say: thank you, and we see the work behind every harvest.</t>
  </si>
  <si>
    <t xml:space="preserve">Learn more about the communities we source from — link in bio.</t>
  </si>
  <si>
    <t xml:space="preserve">#RootsThursday #ProviBeans #FarmerAppreciation #VietnamCoffee #ThankAFarmer</t>
  </si>
  <si>
    <t xml:space="preserve">Three months in: what our B2B partners are saying.</t>
  </si>
  <si>
    <t xml:space="preserve">Compilation graphic of 3 short partner quotes on branded cards.</t>
  </si>
  <si>
    <t xml:space="preserve">Three months of orders, deliveries, and repeat business later, here's a snapshot of what café and restaurant partners are telling us about working with Provi Beans.</t>
  </si>
  <si>
    <t xml:space="preserve">Interested in wholesale? Reach out — we'd love to work with you.</t>
  </si>
  <si>
    <t xml:space="preserve">#ProofFriday #ProviBeans #B2BCoffee #PartnerFeedback #SpecialtyCoffeePH</t>
  </si>
  <si>
    <t xml:space="preserve">Restock alert + a limited bundle for first-time buyers.</t>
  </si>
  <si>
    <t xml:space="preserve">Product photo with "First-Time Buyer Bundle" tag and price callout.</t>
  </si>
  <si>
    <t xml:space="preserve">New to Provi Beans? This bundle is built for first-timers — a taste of our top two origins at an introductory price, so you can find your favorite without committing to a full case.</t>
  </si>
  <si>
    <t xml:space="preserve">Claim your first-time bundle — link in bio.</t>
  </si>
  <si>
    <t xml:space="preserve">#OfferSaturday #ProviBeans #FirstTimeBuyer #CoffeeBundle #PremiumCoffeePH</t>
  </si>
  <si>
    <t xml:space="preserve">Show us your Provi Beans setup. Best photo gets featured.</t>
  </si>
  <si>
    <t xml:space="preserve">UGC-style call-to-action graphic — camera icon, feature promise.</t>
  </si>
  <si>
    <t xml:space="preserve">However you brew it — moka pot, French press, drip, or straight black — we want to see it. Share a photo of your setup and tag us for a chance to be featured on our page.</t>
  </si>
  <si>
    <t xml:space="preserve">Tag @ProviBeans in your coffee photo this weekend.</t>
  </si>
  <si>
    <t xml:space="preserve">#PurposeSunday #ProviBeans #UGC #CoffeeSetup #CommunityFeature</t>
  </si>
  <si>
    <t xml:space="preserve">A missionary heart. An engineer's leap. A coffee lover's devotion. One divine intersection.</t>
  </si>
  <si>
    <t xml:space="preserve">Collage-style graphic combining the three story elements visually (subtle icons or photos).</t>
  </si>
  <si>
    <t xml:space="preserve">This is the sentence that sums up how Provi Beans came to exist. Three separate callings, three separate people, one convergence that none of us could have planned on our own.</t>
  </si>
  <si>
    <t xml:space="preserve">Read the full story of how it all came together — link in bio.</t>
  </si>
  <si>
    <t xml:space="preserve">Grounds don't have to go to waste. Here's where yours go.</t>
  </si>
  <si>
    <t xml:space="preserve">Carousel: coffee grounds → biodegradable packaging process graphic, tied to the Provi Bean Pack initiative.</t>
  </si>
  <si>
    <t xml:space="preserve">Spent coffee grounds have a second life. Through our circular economy initiative, used grounds are converted into biodegradable packaging — with proceeds supporting AMG Philippines. Your cup does more than wake you up.</t>
  </si>
  <si>
    <t xml:space="preserve">Learn how your daily cup supports a bigger mission.</t>
  </si>
  <si>
    <t xml:space="preserve">#CraftTuesday #CircularEconomy #ProviBeans #SustainableCoffee #ImpactBeyondTheCup</t>
  </si>
  <si>
    <t xml:space="preserve">The best leaders drink coffee that was earned honestly. So do we serve it.</t>
  </si>
  <si>
    <t xml:space="preserve">Reel: quiet office or workshop scene, leader-type figure pouring coffee before a busy day.</t>
  </si>
  <si>
    <t xml:space="preserve">Leadership isn't about the title. It's about the standard you hold when no one's checking. We built Provi Beans to match that same standard — honest sourcing, honest pricing, honest work.</t>
  </si>
  <si>
    <t xml:space="preserve">Lead your day the way you lead everything else — with intention.</t>
  </si>
  <si>
    <t xml:space="preserve">#GrindWednesday #Leadership #ProviBeans #IntegrityInEveryCup #Discipline</t>
  </si>
  <si>
    <t xml:space="preserve">Every peso spent on Provi Beans reaches a farming family in Vietnam.</t>
  </si>
  <si>
    <t xml:space="preserve">Simple infographic: portion of proceeds → farmer support, visualized with an icon chain.</t>
  </si>
  <si>
    <t xml:space="preserve">We built our pricing model so that fair value flows back to the farmers who grow it — not just the businesses that sell it. That's not a promotional claim. It's the whole point of Provi Beans.</t>
  </si>
  <si>
    <t xml:space="preserve">Buy coffee that puts people first — shop today.</t>
  </si>
  <si>
    <t xml:space="preserve">#RootsThursday #ProviBeans #FairTrade #VietnamCoffee #DignityInEveryHarvest</t>
  </si>
  <si>
    <t xml:space="preserve">How Provi Beans became a small but steady source of hope for one ministry.</t>
  </si>
  <si>
    <t xml:space="preserve">Photo or graphic representing the AMG Philippines Child Development Program tie-in, warm and hopeful tone.</t>
  </si>
  <si>
    <t xml:space="preserve">Part of our mission is standing behind organizations like AMG Philippines, whose Child Development Program has shaped lives, including some very close to our own team. Every order plays a small part in that ongoing work.</t>
  </si>
  <si>
    <t xml:space="preserve">Learn more about the causes behind your coffee — link in bio.</t>
  </si>
  <si>
    <t xml:space="preserve">#ProofFriday #ProviBeans #AMGPhilippines #CoffeeWithPurpose #CommunityImpact</t>
  </si>
  <si>
    <t xml:space="preserve">This week's order supports AMG Philippines' Child Development Program.</t>
  </si>
  <si>
    <t xml:space="preserve">Product photo paired with a subtle cause-marketing graphic and short explanation.</t>
  </si>
  <si>
    <t xml:space="preserve">This weekend, a portion of every order goes toward supporting children in AMG Philippines' Child Development Program. Great coffee, and a good reason to order it.</t>
  </si>
  <si>
    <t xml:space="preserve">Shop this weekend and be part of the impact.</t>
  </si>
  <si>
    <t xml:space="preserve">#OfferSaturday #ProviBeans #AMGPhilippines #CoffeeForACause #PremiumCoffeePH</t>
  </si>
  <si>
    <t xml:space="preserve">Ask us anything about where your coffee comes from.</t>
  </si>
  <si>
    <t xml:space="preserve">Simple Q&amp;A / AMA-style graphic with a question-mark motif.</t>
  </si>
  <si>
    <t xml:space="preserve">Curious about our sourcing, our farmers, our roasting process, or the story behind the brand? Drop your questions below — we'll answer as many as we can this week.</t>
  </si>
  <si>
    <t xml:space="preserve">Ask your question in the comments.</t>
  </si>
  <si>
    <t xml:space="preserve">#PurposeSunday #ProviBeans #AskUsAnything #CoffeeCommunity #TransparentSourcing</t>
  </si>
  <si>
    <t xml:space="preserve">Providence doesn't rush. But this offer does.</t>
  </si>
  <si>
    <t xml:space="preserve">Product photo with bold countdown-style graphic overlay.</t>
  </si>
  <si>
    <t xml:space="preserve">Some things in this story took years to come together. This offer isn't one of them — it's here for a limited window, so if you've been meaning to try Provi Beans, this is the nudge.</t>
  </si>
  <si>
    <t xml:space="preserve">See this week's offer — link in bio.</t>
  </si>
  <si>
    <t xml:space="preserve">#ProvidenceMonday #ProviBeans #LimitedOffer #CoffeeStory #PremiumCoffeePH</t>
  </si>
  <si>
    <t xml:space="preserve">The difference between supermarket coffee and Provi Beans, side by side.</t>
  </si>
  <si>
    <t xml:space="preserve">Carousel: comparison graphic — grading, roast freshness, sourcing transparency, price-per-cup value.</t>
  </si>
  <si>
    <t xml:space="preserve">Mass-market coffee is optimized for shelf life and cost. Provi Beans is optimized for flavor, freshness, and fair sourcing. Once you taste the difference, it's hard to go back.</t>
  </si>
  <si>
    <t xml:space="preserve">Make the switch — order your first bag today.</t>
  </si>
  <si>
    <t xml:space="preserve">#CraftTuesday #ProviBeans #CoffeeComparison #SpecialtyCoffeePH #WhyItsWorthIt</t>
  </si>
  <si>
    <t xml:space="preserve">Your grind. Your grit. Your Provi Beans.</t>
  </si>
  <si>
    <t xml:space="preserve">Reel: fast-paced montage of different men's morning routines, ending on Provi Beans cup.</t>
  </si>
  <si>
    <t xml:space="preserve">However your morning looks — gym, office, jobsite, or home — the standard stays the same. Strong coffee for the work ahead.</t>
  </si>
  <si>
    <t xml:space="preserve">Fuel your grind — shop the full lineup today.</t>
  </si>
  <si>
    <t xml:space="preserve">#GrindWednesday #ProviBeans #YourGrindYourGrit #MorningFuel #Discipline</t>
  </si>
  <si>
    <t xml:space="preserve">This case of beans passed through at least six sets of hands before it reached you.</t>
  </si>
  <si>
    <t xml:space="preserve">Infographic: farmer → picker → processor → roaster → distributor → you, with icons for each step.</t>
  </si>
  <si>
    <t xml:space="preserve">Every case tells a chain-of-custody story most coffee brands never share. We think you deserve to know exactly whose hands were part of getting your coffee to your door.</t>
  </si>
  <si>
    <t xml:space="preserve">Order a case and be the next hand in the story.</t>
  </si>
  <si>
    <t xml:space="preserve">#RootsThursday #ProviBeans #ChainOfHands #FarmToCup #VietnamCoffee</t>
  </si>
  <si>
    <t xml:space="preserve">"I switched my whole café's supply to Provi Beans." Read why.</t>
  </si>
  <si>
    <t xml:space="preserve">Longer-form testimonial graphic styled as a mini case study.</t>
  </si>
  <si>
    <t xml:space="preserve">A full switch of a café's coffee supply doesn't happen on a whim. Here's the honest breakdown one of our partners gave us on why they made the move — and haven't looked back.</t>
  </si>
  <si>
    <t xml:space="preserve">Considering a switch for your business? Let's talk — DM us.</t>
  </si>
  <si>
    <t xml:space="preserve">#ProofFriday #ProviBeans #CafeCaseStudy #B2BCoffee #SpecialtyCoffeePH</t>
  </si>
  <si>
    <t xml:space="preserve">48-hour flash bundle: 3 bags, 1 price, while stocks last.</t>
  </si>
  <si>
    <t xml:space="preserve">Bold flash-sale product graphic, urgency-driven design, countdown element.</t>
  </si>
  <si>
    <t xml:space="preserve">For the next 48 hours only, grab three bags at a bundled price built for stocking up. Once the timer runs out, it's back to regular pricing.</t>
  </si>
  <si>
    <t xml:space="preserve">Order now before the 48-hour window closes.</t>
  </si>
  <si>
    <t xml:space="preserve">#OfferSaturday #ProviBeans #FlashSale #LimitedTime #PremiumCoffeePH</t>
  </si>
  <si>
    <t xml:space="preserve">Last call to lock in this month's bundle pricing.</t>
  </si>
  <si>
    <t xml:space="preserve">Simple reminder graphic — calendar icon, closing-soon message.</t>
  </si>
  <si>
    <t xml:space="preserve">This month's bundle pricing wraps up tonight. If it's been on your list, tonight's the night to check out before pricing resets for next month.</t>
  </si>
  <si>
    <t xml:space="preserve">Lock in this month's price — link in bio.</t>
  </si>
  <si>
    <t xml:space="preserve">#PurposeSunday #ProviBeans #LastCall #MonthlyBundle #CoffeeCommunity</t>
  </si>
  <si>
    <t xml:space="preserve">60 days ago, we introduced you to a story. Today, we say thank you.</t>
  </si>
  <si>
    <t xml:space="preserve">Warm recap-style graphic or short montage of highlights from the past 60 days.</t>
  </si>
  <si>
    <t xml:space="preserve">Two months ago, we started sharing why Provi Beans exists — the farmers, the founders, the faith behind every bag. Thank you for reading, sharing, and ordering alongside us. This is only chapter one.</t>
  </si>
  <si>
    <t xml:space="preserve">Thank you for being part of the story — shop today to keep it going.</t>
  </si>
  <si>
    <t xml:space="preserve">#ProvidenceMonday #ProviBeans #ThankYou #CoffeeStory #ChapterOne</t>
  </si>
  <si>
    <t xml:space="preserve">The one brewing tip every serious coffee drinker should know.</t>
  </si>
  <si>
    <t xml:space="preserve">Short how-to carousel or reel: water temperature, ratio, and timing for a better cup at home.</t>
  </si>
  <si>
    <t xml:space="preserve">Most home coffee gets ruined by one thing: water that's too hot. Aim for just off the boil (around 90-96°C) and a consistent ratio, and even a simple setup will taste noticeably better.</t>
  </si>
  <si>
    <t xml:space="preserve">Try this tip with your next Provi Beans brew.</t>
  </si>
  <si>
    <t xml:space="preserve">#CraftTuesday #BrewingTips #ProviBeans #CoffeeEducation #BetterBrew</t>
  </si>
  <si>
    <t xml:space="preserve">Real men build real rituals. Coffee is just where it starts.</t>
  </si>
  <si>
    <t xml:space="preserve">Reel: montage of the ritual theme across the campaign — early mornings, quiet discipline, showing up.</t>
  </si>
  <si>
    <t xml:space="preserve">Over these 60 days, one theme kept coming back: the small, unseen choices are what build a man's standard. Coffee was never really the point — the discipline behind it was.</t>
  </si>
  <si>
    <t xml:space="preserve">Keep building your ritual — shop Provi Beans today.</t>
  </si>
  <si>
    <t xml:space="preserve">#GrindWednesday #ProviBeans #BuildYourRitual #Discipline #MorningStandard</t>
  </si>
  <si>
    <t xml:space="preserve">This is only the beginning. Here's what's next for Provi Beans.</t>
  </si>
  <si>
    <t xml:space="preserve">Teaser-style graphic hinting at upcoming products, partnerships, or origin drops — vague enough to build anticipation.</t>
  </si>
  <si>
    <t xml:space="preserve">New origins, new partnerships, and new ways to bring this story to more tables — that's what's ahead for Provi Beans. Thank you for being here from day one.</t>
  </si>
  <si>
    <t xml:space="preserve">Stay close — follow us so you don't miss what's next.</t>
  </si>
  <si>
    <t xml:space="preserve">#RootsThursday #ProviBeans #WhatsNext #CoffeeJourney #StayTuned</t>
  </si>
</sst>
</file>

<file path=xl/styles.xml><?xml version="1.0" encoding="utf-8"?>
<styleSheet xmlns="http://schemas.openxmlformats.org/spreadsheetml/2006/main">
  <numFmts count="3">
    <numFmt numFmtId="164" formatCode="General"/>
    <numFmt numFmtId="165" formatCode="mmm\ d&quot;, &quot;yyyy"/>
    <numFmt numFmtId="166" formatCode="mmm\ d&quot;&#10;(&quot;ddd\)"/>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444444"/>
      <name val="Arial"/>
      <family val="0"/>
      <charset val="1"/>
    </font>
    <font>
      <b val="true"/>
      <sz val="12"/>
      <color rgb="FFFFFFFF"/>
      <name val="Arial"/>
      <family val="0"/>
      <charset val="1"/>
    </font>
    <font>
      <b val="true"/>
      <sz val="10.5"/>
      <color rgb="FF1F2A44"/>
      <name val="Arial"/>
      <family val="0"/>
      <charset val="1"/>
    </font>
    <font>
      <sz val="10.5"/>
      <color rgb="FF444444"/>
      <name val="Arial"/>
      <family val="0"/>
      <charset val="1"/>
    </font>
    <font>
      <i val="true"/>
      <sz val="9.5"/>
      <color rgb="FF444444"/>
      <name val="Arial"/>
      <family val="0"/>
      <charset val="1"/>
    </font>
    <font>
      <i val="true"/>
      <sz val="10"/>
      <color rgb="FF444444"/>
      <name val="Arial"/>
      <family val="0"/>
      <charset val="1"/>
    </font>
    <font>
      <b val="true"/>
      <sz val="10.5"/>
      <color rgb="FF0000FF"/>
      <name val="Arial"/>
      <family val="0"/>
      <charset val="1"/>
    </font>
    <font>
      <b val="true"/>
      <sz val="10"/>
      <color rgb="FFFFFFFF"/>
      <name val="Arial"/>
      <family val="0"/>
      <charset val="1"/>
    </font>
    <font>
      <b val="true"/>
      <sz val="10"/>
      <color rgb="FF1F2A44"/>
      <name val="Arial"/>
      <family val="0"/>
      <charset val="1"/>
    </font>
    <font>
      <sz val="9"/>
      <color rgb="FF444444"/>
      <name val="Arial"/>
      <family val="0"/>
      <charset val="1"/>
    </font>
    <font>
      <sz val="9.5"/>
      <color rgb="FF444444"/>
      <name val="Arial"/>
      <family val="0"/>
      <charset val="1"/>
    </font>
    <font>
      <b val="true"/>
      <sz val="9.5"/>
      <color rgb="FF1F2A44"/>
      <name val="Arial"/>
      <family val="0"/>
      <charset val="1"/>
    </font>
  </fonts>
  <fills count="13">
    <fill>
      <patternFill patternType="none"/>
    </fill>
    <fill>
      <patternFill patternType="gray125"/>
    </fill>
    <fill>
      <patternFill patternType="solid">
        <fgColor rgb="FF1F2A44"/>
        <bgColor rgb="FF003366"/>
      </patternFill>
    </fill>
    <fill>
      <patternFill patternType="solid">
        <fgColor rgb="FFB08D57"/>
        <bgColor rgb="FF808080"/>
      </patternFill>
    </fill>
    <fill>
      <patternFill patternType="solid">
        <fgColor rgb="FFFBF7F0"/>
        <bgColor rgb="FFFBF0DF"/>
      </patternFill>
    </fill>
    <fill>
      <patternFill patternType="solid">
        <fgColor rgb="FFFFFF00"/>
        <bgColor rgb="FFFFFF00"/>
      </patternFill>
    </fill>
    <fill>
      <patternFill patternType="solid">
        <fgColor rgb="FFE8ECF5"/>
        <bgColor rgb="FFEDE7F5"/>
      </patternFill>
    </fill>
    <fill>
      <patternFill patternType="solid">
        <fgColor rgb="FFFBF0DF"/>
        <bgColor rgb="FFFDEAEA"/>
      </patternFill>
    </fill>
    <fill>
      <patternFill patternType="solid">
        <fgColor rgb="FFE7F2E9"/>
        <bgColor rgb="FFF0F0F0"/>
      </patternFill>
    </fill>
    <fill>
      <patternFill patternType="solid">
        <fgColor rgb="FFF5E9E0"/>
        <bgColor rgb="FFFDEAEA"/>
      </patternFill>
    </fill>
    <fill>
      <patternFill patternType="solid">
        <fgColor rgb="FFEDE7F5"/>
        <bgColor rgb="FFE8ECF5"/>
      </patternFill>
    </fill>
    <fill>
      <patternFill patternType="solid">
        <fgColor rgb="FFFDEAEA"/>
        <bgColor rgb="FFF5E9E0"/>
      </patternFill>
    </fill>
    <fill>
      <patternFill patternType="solid">
        <fgColor rgb="FFF0F0F0"/>
        <bgColor rgb="FFE8ECF5"/>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general" vertical="bottom" textRotation="0" wrapText="fals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false" applyAlignment="true" applyProtection="false">
      <alignment horizontal="general" vertical="top" textRotation="0" wrapText="true" indent="1" shrinkToFit="false"/>
      <protection locked="true" hidden="false"/>
    </xf>
    <xf numFmtId="164" fontId="9" fillId="0" borderId="0" xfId="0" applyFont="true" applyBorder="true" applyAlignment="true" applyProtection="false">
      <alignment horizontal="general" vertical="top" textRotation="0" wrapText="true" indent="1"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10" fillId="4" borderId="0" xfId="0" applyFont="true" applyBorder="true" applyAlignment="true" applyProtection="false">
      <alignment horizontal="general" vertical="center" textRotation="0" wrapText="false" indent="1"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top" textRotation="0" wrapText="false" indent="0" shrinkToFit="false"/>
      <protection locked="true" hidden="false"/>
    </xf>
    <xf numFmtId="166" fontId="14" fillId="6" borderId="1" xfId="0" applyFont="true" applyBorder="true" applyAlignment="true" applyProtection="false">
      <alignment horizontal="center" vertical="top" textRotation="0" wrapText="true" indent="0" shrinkToFit="false"/>
      <protection locked="true" hidden="false"/>
    </xf>
    <xf numFmtId="164" fontId="15" fillId="6" borderId="1" xfId="0" applyFont="true" applyBorder="true" applyAlignment="true" applyProtection="false">
      <alignment horizontal="left" vertical="top" textRotation="0" wrapText="true" indent="0" shrinkToFit="false"/>
      <protection locked="true" hidden="false"/>
    </xf>
    <xf numFmtId="164" fontId="16" fillId="6"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false" indent="0" shrinkToFit="false"/>
      <protection locked="true" hidden="false"/>
    </xf>
    <xf numFmtId="166" fontId="14" fillId="7" borderId="1" xfId="0" applyFont="true" applyBorder="true" applyAlignment="true" applyProtection="false">
      <alignment horizontal="center" vertical="top" textRotation="0" wrapText="true" indent="0" shrinkToFit="false"/>
      <protection locked="true" hidden="false"/>
    </xf>
    <xf numFmtId="164" fontId="15" fillId="7" borderId="1" xfId="0" applyFont="true" applyBorder="true" applyAlignment="true" applyProtection="false">
      <alignment horizontal="left" vertical="top" textRotation="0" wrapText="true" indent="0" shrinkToFit="false"/>
      <protection locked="true" hidden="false"/>
    </xf>
    <xf numFmtId="164" fontId="16" fillId="7"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center" vertical="top" textRotation="0" wrapText="false" indent="0" shrinkToFit="false"/>
      <protection locked="true" hidden="false"/>
    </xf>
    <xf numFmtId="166" fontId="14" fillId="8" borderId="1" xfId="0" applyFont="true" applyBorder="true" applyAlignment="true" applyProtection="false">
      <alignment horizontal="center" vertical="top" textRotation="0" wrapText="true" indent="0" shrinkToFit="false"/>
      <protection locked="true" hidden="false"/>
    </xf>
    <xf numFmtId="164" fontId="15" fillId="8" borderId="1" xfId="0" applyFont="true" applyBorder="true" applyAlignment="true" applyProtection="false">
      <alignment horizontal="left" vertical="top" textRotation="0" wrapText="true" indent="0" shrinkToFit="false"/>
      <protection locked="true" hidden="false"/>
    </xf>
    <xf numFmtId="164" fontId="16" fillId="8" borderId="1" xfId="0" applyFont="true" applyBorder="true" applyAlignment="true" applyProtection="false">
      <alignment horizontal="left" vertical="top" textRotation="0" wrapText="true" indent="0" shrinkToFit="false"/>
      <protection locked="true" hidden="false"/>
    </xf>
    <xf numFmtId="164" fontId="13" fillId="9" borderId="1" xfId="0" applyFont="true" applyBorder="true" applyAlignment="true" applyProtection="false">
      <alignment horizontal="center" vertical="top" textRotation="0" wrapText="false" indent="0" shrinkToFit="false"/>
      <protection locked="true" hidden="false"/>
    </xf>
    <xf numFmtId="166" fontId="14" fillId="9" borderId="1" xfId="0" applyFont="true" applyBorder="true" applyAlignment="true" applyProtection="false">
      <alignment horizontal="center" vertical="top" textRotation="0" wrapText="true" indent="0" shrinkToFit="false"/>
      <protection locked="true" hidden="false"/>
    </xf>
    <xf numFmtId="164" fontId="15" fillId="9" borderId="1" xfId="0" applyFont="true" applyBorder="true" applyAlignment="true" applyProtection="false">
      <alignment horizontal="left" vertical="top" textRotation="0" wrapText="true" indent="0" shrinkToFit="false"/>
      <protection locked="true" hidden="false"/>
    </xf>
    <xf numFmtId="164" fontId="16" fillId="9" borderId="1" xfId="0" applyFont="true" applyBorder="true" applyAlignment="true" applyProtection="false">
      <alignment horizontal="left" vertical="top" textRotation="0" wrapText="true" indent="0" shrinkToFit="false"/>
      <protection locked="true" hidden="false"/>
    </xf>
    <xf numFmtId="164" fontId="13" fillId="10" borderId="1" xfId="0" applyFont="true" applyBorder="true" applyAlignment="true" applyProtection="false">
      <alignment horizontal="center" vertical="top" textRotation="0" wrapText="false" indent="0" shrinkToFit="false"/>
      <protection locked="true" hidden="false"/>
    </xf>
    <xf numFmtId="166" fontId="14" fillId="10" borderId="1" xfId="0" applyFont="true" applyBorder="true" applyAlignment="true" applyProtection="false">
      <alignment horizontal="center" vertical="top" textRotation="0" wrapText="true" indent="0" shrinkToFit="false"/>
      <protection locked="true" hidden="false"/>
    </xf>
    <xf numFmtId="164" fontId="15" fillId="10" borderId="1" xfId="0" applyFont="true" applyBorder="true" applyAlignment="true" applyProtection="false">
      <alignment horizontal="left" vertical="top" textRotation="0" wrapText="true" indent="0" shrinkToFit="false"/>
      <protection locked="true" hidden="false"/>
    </xf>
    <xf numFmtId="164" fontId="16" fillId="10" borderId="1" xfId="0" applyFont="true" applyBorder="true" applyAlignment="true" applyProtection="false">
      <alignment horizontal="left" vertical="top" textRotation="0" wrapText="true" indent="0" shrinkToFit="false"/>
      <protection locked="true" hidden="false"/>
    </xf>
    <xf numFmtId="164" fontId="13" fillId="11" borderId="1" xfId="0" applyFont="true" applyBorder="true" applyAlignment="true" applyProtection="false">
      <alignment horizontal="center" vertical="top" textRotation="0" wrapText="false" indent="0" shrinkToFit="false"/>
      <protection locked="true" hidden="false"/>
    </xf>
    <xf numFmtId="166" fontId="14" fillId="11" borderId="1" xfId="0" applyFont="true" applyBorder="true" applyAlignment="true" applyProtection="false">
      <alignment horizontal="center" vertical="top" textRotation="0" wrapText="true" indent="0" shrinkToFit="false"/>
      <protection locked="true" hidden="false"/>
    </xf>
    <xf numFmtId="164" fontId="15" fillId="11" borderId="1" xfId="0" applyFont="true" applyBorder="true" applyAlignment="true" applyProtection="false">
      <alignment horizontal="left" vertical="top" textRotation="0" wrapText="true" indent="0" shrinkToFit="false"/>
      <protection locked="true" hidden="false"/>
    </xf>
    <xf numFmtId="164" fontId="16" fillId="11" borderId="1" xfId="0" applyFont="true" applyBorder="true" applyAlignment="true" applyProtection="false">
      <alignment horizontal="left" vertical="top" textRotation="0" wrapText="true" indent="0" shrinkToFit="false"/>
      <protection locked="true" hidden="false"/>
    </xf>
    <xf numFmtId="164" fontId="13" fillId="12" borderId="1" xfId="0" applyFont="true" applyBorder="true" applyAlignment="true" applyProtection="false">
      <alignment horizontal="center" vertical="top" textRotation="0" wrapText="false" indent="0" shrinkToFit="false"/>
      <protection locked="true" hidden="false"/>
    </xf>
    <xf numFmtId="166" fontId="14" fillId="12" borderId="1" xfId="0" applyFont="true" applyBorder="true" applyAlignment="true" applyProtection="false">
      <alignment horizontal="center" vertical="top" textRotation="0" wrapText="true" indent="0" shrinkToFit="false"/>
      <protection locked="true" hidden="false"/>
    </xf>
    <xf numFmtId="164" fontId="15" fillId="12" borderId="1" xfId="0" applyFont="true" applyBorder="true" applyAlignment="true" applyProtection="false">
      <alignment horizontal="left" vertical="top" textRotation="0" wrapText="true" indent="0" shrinkToFit="false"/>
      <protection locked="true" hidden="false"/>
    </xf>
    <xf numFmtId="164" fontId="16" fillId="12"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2A44"/>
          <bgColor rgb="FF000000"/>
        </patternFill>
      </fill>
    </dxf>
    <dxf>
      <fill>
        <patternFill patternType="solid">
          <fgColor rgb="FFE7F2E9"/>
          <bgColor rgb="FF000000"/>
        </patternFill>
      </fill>
    </dxf>
    <dxf>
      <fill>
        <patternFill patternType="solid">
          <fgColor rgb="FFE8ECF5"/>
          <bgColor rgb="FF000000"/>
        </patternFill>
      </fill>
    </dxf>
    <dxf>
      <fill>
        <patternFill patternType="solid">
          <fgColor rgb="FFEDE7F5"/>
          <bgColor rgb="FF000000"/>
        </patternFill>
      </fill>
    </dxf>
    <dxf>
      <fill>
        <patternFill patternType="solid">
          <fgColor rgb="FFF0F0F0"/>
          <bgColor rgb="FF000000"/>
        </patternFill>
      </fill>
    </dxf>
    <dxf>
      <fill>
        <patternFill patternType="solid">
          <fgColor rgb="FFF5E9E0"/>
          <bgColor rgb="FF000000"/>
        </patternFill>
      </fill>
    </dxf>
    <dxf>
      <fill>
        <patternFill patternType="solid">
          <fgColor rgb="FFFBF0DF"/>
          <bgColor rgb="FF000000"/>
        </patternFill>
      </fill>
    </dxf>
    <dxf>
      <fill>
        <patternFill patternType="solid">
          <fgColor rgb="FFFDEAEA"/>
          <bgColor rgb="FF000000"/>
        </patternFill>
      </fill>
    </dxf>
    <dxf>
      <fill>
        <patternFill patternType="solid">
          <fgColor rgb="FFFFFFFF"/>
          <bgColor rgb="FF000000"/>
        </patternFill>
      </fill>
    </dxf>
    <dxf>
      <fill>
        <patternFill patternType="solid">
          <fgColor rgb="FF44444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DE7F5"/>
      <rgbColor rgb="FF808080"/>
      <rgbColor rgb="FF9999FF"/>
      <rgbColor rgb="FF993366"/>
      <rgbColor rgb="FFFBF0DF"/>
      <rgbColor rgb="FFE7F2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ECF5"/>
      <rgbColor rgb="FFF0F0F0"/>
      <rgbColor rgb="FFF5E9E0"/>
      <rgbColor rgb="FFFBF7F0"/>
      <rgbColor rgb="FFFF99CC"/>
      <rgbColor rgb="FFCC99FF"/>
      <rgbColor rgb="FFFDEAEA"/>
      <rgbColor rgb="FF3366FF"/>
      <rgbColor rgb="FF33CCCC"/>
      <rgbColor rgb="FF99CC00"/>
      <rgbColor rgb="FFFFCC00"/>
      <rgbColor rgb="FFFF9900"/>
      <rgbColor rgb="FFFF6600"/>
      <rgbColor rgb="FF666699"/>
      <rgbColor rgb="FFB08D57"/>
      <rgbColor rgb="FF003366"/>
      <rgbColor rgb="FF339966"/>
      <rgbColor rgb="FF003300"/>
      <rgbColor rgb="FF444444"/>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s>
  <sheetData>
    <row r="1" customFormat="false" ht="30" hidden="false" customHeight="true" outlineLevel="0" collapsed="false">
      <c r="A1" s="1" t="s">
        <v>0</v>
      </c>
      <c r="B1" s="1"/>
    </row>
    <row r="2" customFormat="false" ht="15" hidden="false" customHeight="false" outlineLevel="0" collapsed="false">
      <c r="A2" s="2" t="s">
        <v>1</v>
      </c>
      <c r="B2" s="2"/>
    </row>
    <row r="4" customFormat="false" ht="19.5" hidden="false" customHeight="true" outlineLevel="0" collapsed="false">
      <c r="A4" s="3" t="s">
        <v>2</v>
      </c>
      <c r="B4" s="3"/>
    </row>
    <row r="5" customFormat="false" ht="42" hidden="false" customHeight="true" outlineLevel="0" collapsed="false">
      <c r="A5" s="4" t="s">
        <v>3</v>
      </c>
      <c r="B5" s="5" t="s">
        <v>4</v>
      </c>
    </row>
    <row r="6" customFormat="false" ht="42" hidden="false" customHeight="true" outlineLevel="0" collapsed="false">
      <c r="A6" s="4" t="s">
        <v>5</v>
      </c>
      <c r="B6" s="5" t="s">
        <v>6</v>
      </c>
    </row>
    <row r="8" customFormat="false" ht="19.5" hidden="false" customHeight="true" outlineLevel="0" collapsed="false">
      <c r="A8" s="3" t="s">
        <v>7</v>
      </c>
      <c r="B8" s="3"/>
    </row>
    <row r="9" customFormat="false" ht="55.5" hidden="false" customHeight="true" outlineLevel="0" collapsed="false">
      <c r="A9" s="4" t="s">
        <v>8</v>
      </c>
      <c r="B9" s="5" t="s">
        <v>9</v>
      </c>
    </row>
    <row r="10" customFormat="false" ht="42" hidden="false" customHeight="true" outlineLevel="0" collapsed="false">
      <c r="A10" s="4" t="s">
        <v>10</v>
      </c>
      <c r="B10" s="5" t="s">
        <v>11</v>
      </c>
    </row>
    <row r="11" customFormat="false" ht="42" hidden="false" customHeight="true" outlineLevel="0" collapsed="false">
      <c r="A11" s="4" t="s">
        <v>12</v>
      </c>
      <c r="B11" s="5" t="s">
        <v>13</v>
      </c>
    </row>
    <row r="13" customFormat="false" ht="19.5" hidden="false" customHeight="true" outlineLevel="0" collapsed="false">
      <c r="A13" s="3" t="s">
        <v>14</v>
      </c>
      <c r="B13" s="3"/>
    </row>
    <row r="14" customFormat="false" ht="42" hidden="false" customHeight="true" outlineLevel="0" collapsed="false">
      <c r="A14" s="4" t="s">
        <v>15</v>
      </c>
      <c r="B14" s="5" t="s">
        <v>16</v>
      </c>
    </row>
    <row r="15" customFormat="false" ht="55.5" hidden="false" customHeight="true" outlineLevel="0" collapsed="false">
      <c r="A15" s="4" t="s">
        <v>17</v>
      </c>
      <c r="B15" s="5" t="s">
        <v>18</v>
      </c>
    </row>
    <row r="16" customFormat="false" ht="42" hidden="false" customHeight="true" outlineLevel="0" collapsed="false">
      <c r="A16" s="4" t="s">
        <v>19</v>
      </c>
      <c r="B16" s="5" t="s">
        <v>20</v>
      </c>
    </row>
    <row r="18" customFormat="false" ht="19.5" hidden="false" customHeight="true" outlineLevel="0" collapsed="false">
      <c r="A18" s="3" t="s">
        <v>21</v>
      </c>
      <c r="B18" s="3"/>
    </row>
    <row r="19" customFormat="false" ht="18" hidden="false" customHeight="true" outlineLevel="0" collapsed="false">
      <c r="A19" s="4" t="s">
        <v>22</v>
      </c>
      <c r="B19" s="5" t="s">
        <v>23</v>
      </c>
    </row>
    <row r="20" customFormat="false" ht="27.75" hidden="false" customHeight="true" outlineLevel="0" collapsed="false">
      <c r="A20" s="4" t="s">
        <v>24</v>
      </c>
      <c r="B20" s="5" t="s">
        <v>25</v>
      </c>
    </row>
    <row r="21" customFormat="false" ht="27.75" hidden="false" customHeight="true" outlineLevel="0" collapsed="false">
      <c r="A21" s="4" t="s">
        <v>26</v>
      </c>
      <c r="B21" s="5" t="s">
        <v>27</v>
      </c>
    </row>
    <row r="22" customFormat="false" ht="27.75" hidden="false" customHeight="true" outlineLevel="0" collapsed="false">
      <c r="A22" s="4" t="s">
        <v>28</v>
      </c>
      <c r="B22" s="5" t="s">
        <v>29</v>
      </c>
    </row>
    <row r="23" customFormat="false" ht="27.75" hidden="false" customHeight="true" outlineLevel="0" collapsed="false">
      <c r="A23" s="4" t="s">
        <v>30</v>
      </c>
      <c r="B23" s="5" t="s">
        <v>31</v>
      </c>
    </row>
    <row r="24" customFormat="false" ht="27.75" hidden="false" customHeight="true" outlineLevel="0" collapsed="false">
      <c r="A24" s="4" t="s">
        <v>32</v>
      </c>
      <c r="B24" s="5" t="s">
        <v>33</v>
      </c>
    </row>
    <row r="25" customFormat="false" ht="27.75" hidden="false" customHeight="true" outlineLevel="0" collapsed="false">
      <c r="A25" s="4" t="s">
        <v>34</v>
      </c>
      <c r="B25" s="5" t="s">
        <v>35</v>
      </c>
    </row>
    <row r="27" customFormat="false" ht="19.5" hidden="false" customHeight="true" outlineLevel="0" collapsed="false">
      <c r="A27" s="3" t="s">
        <v>36</v>
      </c>
      <c r="B27" s="3"/>
    </row>
    <row r="28" customFormat="false" ht="42" hidden="false" customHeight="true" outlineLevel="0" collapsed="false">
      <c r="A28" s="4" t="s">
        <v>37</v>
      </c>
      <c r="B28" s="5" t="s">
        <v>38</v>
      </c>
    </row>
    <row r="29" customFormat="false" ht="27.75" hidden="false" customHeight="true" outlineLevel="0" collapsed="false">
      <c r="A29" s="4" t="s">
        <v>39</v>
      </c>
      <c r="B29" s="5" t="s">
        <v>40</v>
      </c>
    </row>
    <row r="30" customFormat="false" ht="42" hidden="false" customHeight="true" outlineLevel="0" collapsed="false">
      <c r="A30" s="4" t="s">
        <v>41</v>
      </c>
      <c r="B30" s="5" t="s">
        <v>42</v>
      </c>
    </row>
    <row r="32" customFormat="false" ht="19.5" hidden="false" customHeight="true" outlineLevel="0" collapsed="false">
      <c r="A32" s="3" t="s">
        <v>43</v>
      </c>
      <c r="B32" s="3"/>
    </row>
    <row r="33" customFormat="false" ht="27.75" hidden="false" customHeight="true" outlineLevel="0" collapsed="false">
      <c r="A33" s="4" t="s">
        <v>44</v>
      </c>
      <c r="B33" s="5" t="s">
        <v>45</v>
      </c>
    </row>
    <row r="34" customFormat="false" ht="42" hidden="false" customHeight="true" outlineLevel="0" collapsed="false">
      <c r="A34" s="4" t="s">
        <v>46</v>
      </c>
      <c r="B34" s="5" t="s">
        <v>47</v>
      </c>
    </row>
    <row r="35" customFormat="false" ht="42" hidden="false" customHeight="true" outlineLevel="0" collapsed="false">
      <c r="A35" s="4" t="s">
        <v>48</v>
      </c>
      <c r="B35" s="5" t="s">
        <v>49</v>
      </c>
    </row>
    <row r="36" customFormat="false" ht="42" hidden="false" customHeight="true" outlineLevel="0" collapsed="false">
      <c r="A36" s="4" t="s">
        <v>50</v>
      </c>
      <c r="B36" s="5" t="s">
        <v>51</v>
      </c>
    </row>
    <row r="38" customFormat="false" ht="19.5" hidden="false" customHeight="true" outlineLevel="0" collapsed="false">
      <c r="A38" s="3" t="s">
        <v>52</v>
      </c>
      <c r="B38" s="3"/>
    </row>
    <row r="39" customFormat="false" ht="18" hidden="false" customHeight="true" outlineLevel="0" collapsed="false">
      <c r="A39" s="4" t="s">
        <v>53</v>
      </c>
      <c r="B39" s="5" t="s">
        <v>54</v>
      </c>
    </row>
    <row r="40" customFormat="false" ht="18" hidden="false" customHeight="true" outlineLevel="0" collapsed="false">
      <c r="A40" s="4" t="s">
        <v>55</v>
      </c>
      <c r="B40" s="5" t="s">
        <v>56</v>
      </c>
    </row>
    <row r="41" customFormat="false" ht="18" hidden="false" customHeight="true" outlineLevel="0" collapsed="false">
      <c r="A41" s="4" t="s">
        <v>57</v>
      </c>
      <c r="B41" s="5" t="s">
        <v>58</v>
      </c>
    </row>
    <row r="43" customFormat="false" ht="19.5" hidden="false" customHeight="true" outlineLevel="0" collapsed="false">
      <c r="A43" s="3" t="s">
        <v>59</v>
      </c>
      <c r="B43" s="3"/>
    </row>
    <row r="44" customFormat="false" ht="18" hidden="false" customHeight="true" outlineLevel="0" collapsed="false">
      <c r="A44" s="4" t="s">
        <v>60</v>
      </c>
      <c r="B44" s="5" t="s">
        <v>61</v>
      </c>
    </row>
    <row r="45" customFormat="false" ht="18" hidden="false" customHeight="true" outlineLevel="0" collapsed="false">
      <c r="A45" s="4" t="s">
        <v>62</v>
      </c>
      <c r="B45" s="5" t="s">
        <v>63</v>
      </c>
    </row>
    <row r="46" customFormat="false" ht="27.75" hidden="false" customHeight="true" outlineLevel="0" collapsed="false">
      <c r="A46" s="4" t="s">
        <v>64</v>
      </c>
      <c r="B46" s="5" t="s">
        <v>65</v>
      </c>
    </row>
    <row r="48" customFormat="false" ht="39.75" hidden="false" customHeight="true" outlineLevel="0" collapsed="false">
      <c r="A48" s="6" t="s">
        <v>66</v>
      </c>
      <c r="B48" s="6"/>
    </row>
  </sheetData>
  <mergeCells count="11">
    <mergeCell ref="A1:B1"/>
    <mergeCell ref="A2:B2"/>
    <mergeCell ref="A4:B4"/>
    <mergeCell ref="A8:B8"/>
    <mergeCell ref="A13:B13"/>
    <mergeCell ref="A18:B18"/>
    <mergeCell ref="A27:B27"/>
    <mergeCell ref="A32:B32"/>
    <mergeCell ref="A38:B38"/>
    <mergeCell ref="A43:B43"/>
    <mergeCell ref="A48:B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11"/>
    <col collapsed="false" customWidth="true" hidden="false" outlineLevel="0" max="4" min="4" style="0" width="30"/>
    <col collapsed="false" customWidth="true" hidden="false" outlineLevel="0" max="5" min="5" style="0" width="16"/>
    <col collapsed="false" customWidth="true" hidden="false" outlineLevel="0" max="6" min="6" style="0" width="20"/>
    <col collapsed="false" customWidth="true" hidden="false" outlineLevel="0" max="8" min="7" style="0" width="34"/>
    <col collapsed="false" customWidth="true" hidden="false" outlineLevel="0" max="9" min="9" style="0" width="55"/>
    <col collapsed="false" customWidth="true" hidden="false" outlineLevel="0" max="11" min="10" style="0" width="34"/>
  </cols>
  <sheetData>
    <row r="1" customFormat="false" ht="27.75" hidden="false" customHeight="true" outlineLevel="0" collapsed="false">
      <c r="A1" s="7" t="s">
        <v>67</v>
      </c>
      <c r="B1" s="7"/>
      <c r="C1" s="7"/>
      <c r="D1" s="7"/>
      <c r="E1" s="7"/>
      <c r="F1" s="7"/>
      <c r="G1" s="7"/>
      <c r="H1" s="7"/>
      <c r="I1" s="7"/>
      <c r="J1" s="7"/>
      <c r="K1" s="7"/>
    </row>
    <row r="2" customFormat="false" ht="18" hidden="false" customHeight="true" outlineLevel="0" collapsed="false">
      <c r="A2" s="8" t="s">
        <v>68</v>
      </c>
      <c r="B2" s="8"/>
      <c r="C2" s="8"/>
      <c r="D2" s="8"/>
      <c r="E2" s="8"/>
      <c r="F2" s="8"/>
      <c r="G2" s="8"/>
      <c r="H2" s="8"/>
      <c r="I2" s="8"/>
      <c r="J2" s="8"/>
      <c r="K2" s="8"/>
    </row>
    <row r="3" customFormat="false" ht="18" hidden="false" customHeight="true" outlineLevel="0" collapsed="false">
      <c r="A3" s="9" t="s">
        <v>69</v>
      </c>
      <c r="B3" s="10" t="n">
        <v>46237</v>
      </c>
    </row>
    <row r="5" customFormat="false" ht="31.5" hidden="false" customHeight="true" outlineLevel="0" collapsed="false">
      <c r="A5" s="11" t="s">
        <v>70</v>
      </c>
      <c r="B5" s="11" t="s">
        <v>71</v>
      </c>
      <c r="C5" s="11" t="s">
        <v>72</v>
      </c>
      <c r="D5" s="11" t="s">
        <v>73</v>
      </c>
      <c r="E5" s="11" t="s">
        <v>74</v>
      </c>
      <c r="F5" s="11" t="s">
        <v>75</v>
      </c>
      <c r="G5" s="11" t="s">
        <v>76</v>
      </c>
      <c r="H5" s="11" t="s">
        <v>77</v>
      </c>
      <c r="I5" s="11" t="s">
        <v>78</v>
      </c>
      <c r="J5" s="11" t="s">
        <v>79</v>
      </c>
      <c r="K5" s="11" t="s">
        <v>80</v>
      </c>
    </row>
    <row r="6" customFormat="false" ht="78" hidden="false" customHeight="true" outlineLevel="0" collapsed="false">
      <c r="A6" s="12" t="n">
        <v>1</v>
      </c>
      <c r="B6" s="13" t="n">
        <f aca="false">$B$3+0</f>
        <v>46237</v>
      </c>
      <c r="C6" s="14" t="s">
        <v>81</v>
      </c>
      <c r="D6" s="15" t="s">
        <v>82</v>
      </c>
      <c r="E6" s="14" t="s">
        <v>37</v>
      </c>
      <c r="F6" s="14" t="s">
        <v>83</v>
      </c>
      <c r="G6" s="14" t="s">
        <v>84</v>
      </c>
      <c r="H6" s="14" t="s">
        <v>85</v>
      </c>
      <c r="I6" s="14" t="s">
        <v>86</v>
      </c>
      <c r="J6" s="14" t="s">
        <v>87</v>
      </c>
      <c r="K6" s="14" t="s">
        <v>88</v>
      </c>
    </row>
    <row r="7" customFormat="false" ht="78" hidden="false" customHeight="true" outlineLevel="0" collapsed="false">
      <c r="A7" s="16" t="n">
        <v>2</v>
      </c>
      <c r="B7" s="17" t="n">
        <f aca="false">$B$3+1</f>
        <v>46238</v>
      </c>
      <c r="C7" s="18" t="s">
        <v>89</v>
      </c>
      <c r="D7" s="19" t="s">
        <v>90</v>
      </c>
      <c r="E7" s="18" t="s">
        <v>91</v>
      </c>
      <c r="F7" s="18" t="s">
        <v>92</v>
      </c>
      <c r="G7" s="18" t="s">
        <v>93</v>
      </c>
      <c r="H7" s="18" t="s">
        <v>94</v>
      </c>
      <c r="I7" s="18" t="s">
        <v>95</v>
      </c>
      <c r="J7" s="18" t="s">
        <v>96</v>
      </c>
      <c r="K7" s="18" t="s">
        <v>97</v>
      </c>
    </row>
    <row r="8" customFormat="false" ht="78" hidden="false" customHeight="true" outlineLevel="0" collapsed="false">
      <c r="A8" s="20" t="n">
        <v>3</v>
      </c>
      <c r="B8" s="21" t="n">
        <f aca="false">$B$3+2</f>
        <v>46239</v>
      </c>
      <c r="C8" s="22" t="s">
        <v>98</v>
      </c>
      <c r="D8" s="23" t="s">
        <v>99</v>
      </c>
      <c r="E8" s="22" t="s">
        <v>39</v>
      </c>
      <c r="F8" s="22" t="s">
        <v>100</v>
      </c>
      <c r="G8" s="22" t="s">
        <v>101</v>
      </c>
      <c r="H8" s="22" t="s">
        <v>102</v>
      </c>
      <c r="I8" s="22" t="s">
        <v>103</v>
      </c>
      <c r="J8" s="22" t="s">
        <v>104</v>
      </c>
      <c r="K8" s="22" t="s">
        <v>105</v>
      </c>
    </row>
    <row r="9" customFormat="false" ht="78" hidden="false" customHeight="true" outlineLevel="0" collapsed="false">
      <c r="A9" s="24" t="n">
        <v>4</v>
      </c>
      <c r="B9" s="25" t="n">
        <f aca="false">$B$3+3</f>
        <v>46240</v>
      </c>
      <c r="C9" s="26" t="s">
        <v>106</v>
      </c>
      <c r="D9" s="27" t="s">
        <v>107</v>
      </c>
      <c r="E9" s="26" t="s">
        <v>37</v>
      </c>
      <c r="F9" s="26" t="s">
        <v>108</v>
      </c>
      <c r="G9" s="26" t="s">
        <v>109</v>
      </c>
      <c r="H9" s="26" t="s">
        <v>110</v>
      </c>
      <c r="I9" s="26" t="s">
        <v>111</v>
      </c>
      <c r="J9" s="26" t="s">
        <v>112</v>
      </c>
      <c r="K9" s="26" t="s">
        <v>113</v>
      </c>
    </row>
    <row r="10" customFormat="false" ht="78" hidden="false" customHeight="true" outlineLevel="0" collapsed="false">
      <c r="A10" s="28" t="n">
        <v>5</v>
      </c>
      <c r="B10" s="29" t="n">
        <f aca="false">$B$3+4</f>
        <v>46241</v>
      </c>
      <c r="C10" s="30" t="s">
        <v>114</v>
      </c>
      <c r="D10" s="31" t="s">
        <v>115</v>
      </c>
      <c r="E10" s="30" t="s">
        <v>91</v>
      </c>
      <c r="F10" s="30" t="s">
        <v>116</v>
      </c>
      <c r="G10" s="30" t="s">
        <v>117</v>
      </c>
      <c r="H10" s="30" t="s">
        <v>118</v>
      </c>
      <c r="I10" s="30" t="s">
        <v>119</v>
      </c>
      <c r="J10" s="30" t="s">
        <v>120</v>
      </c>
      <c r="K10" s="30" t="s">
        <v>121</v>
      </c>
    </row>
    <row r="11" customFormat="false" ht="78" hidden="false" customHeight="true" outlineLevel="0" collapsed="false">
      <c r="A11" s="32" t="n">
        <v>6</v>
      </c>
      <c r="B11" s="33" t="n">
        <f aca="false">$B$3+5</f>
        <v>46242</v>
      </c>
      <c r="C11" s="34" t="s">
        <v>122</v>
      </c>
      <c r="D11" s="35" t="s">
        <v>123</v>
      </c>
      <c r="E11" s="34" t="s">
        <v>124</v>
      </c>
      <c r="F11" s="34" t="s">
        <v>125</v>
      </c>
      <c r="G11" s="34" t="s">
        <v>126</v>
      </c>
      <c r="H11" s="34" t="s">
        <v>127</v>
      </c>
      <c r="I11" s="34" t="s">
        <v>128</v>
      </c>
      <c r="J11" s="34" t="s">
        <v>129</v>
      </c>
      <c r="K11" s="34" t="s">
        <v>130</v>
      </c>
    </row>
    <row r="12" customFormat="false" ht="78" hidden="false" customHeight="true" outlineLevel="0" collapsed="false">
      <c r="A12" s="36" t="n">
        <v>7</v>
      </c>
      <c r="B12" s="37" t="n">
        <f aca="false">$B$3+6</f>
        <v>46243</v>
      </c>
      <c r="C12" s="38" t="s">
        <v>131</v>
      </c>
      <c r="D12" s="39" t="s">
        <v>132</v>
      </c>
      <c r="E12" s="38" t="s">
        <v>133</v>
      </c>
      <c r="F12" s="38" t="s">
        <v>134</v>
      </c>
      <c r="G12" s="38" t="s">
        <v>135</v>
      </c>
      <c r="H12" s="38" t="s">
        <v>136</v>
      </c>
      <c r="I12" s="38" t="s">
        <v>137</v>
      </c>
      <c r="J12" s="38" t="s">
        <v>138</v>
      </c>
      <c r="K12" s="38" t="s">
        <v>139</v>
      </c>
    </row>
    <row r="13" customFormat="false" ht="78" hidden="false" customHeight="true" outlineLevel="0" collapsed="false">
      <c r="A13" s="12" t="n">
        <v>8</v>
      </c>
      <c r="B13" s="13" t="n">
        <f aca="false">$B$3+7</f>
        <v>46244</v>
      </c>
      <c r="C13" s="14" t="s">
        <v>81</v>
      </c>
      <c r="D13" s="15" t="s">
        <v>82</v>
      </c>
      <c r="E13" s="14" t="s">
        <v>37</v>
      </c>
      <c r="F13" s="14" t="s">
        <v>83</v>
      </c>
      <c r="G13" s="14" t="s">
        <v>140</v>
      </c>
      <c r="H13" s="14" t="s">
        <v>141</v>
      </c>
      <c r="I13" s="14" t="s">
        <v>142</v>
      </c>
      <c r="J13" s="14" t="s">
        <v>143</v>
      </c>
      <c r="K13" s="14" t="s">
        <v>144</v>
      </c>
    </row>
    <row r="14" customFormat="false" ht="78" hidden="false" customHeight="true" outlineLevel="0" collapsed="false">
      <c r="A14" s="16" t="n">
        <v>9</v>
      </c>
      <c r="B14" s="17" t="n">
        <f aca="false">$B$3+8</f>
        <v>46245</v>
      </c>
      <c r="C14" s="18" t="s">
        <v>89</v>
      </c>
      <c r="D14" s="19" t="s">
        <v>90</v>
      </c>
      <c r="E14" s="18" t="s">
        <v>91</v>
      </c>
      <c r="F14" s="18" t="s">
        <v>92</v>
      </c>
      <c r="G14" s="18" t="s">
        <v>145</v>
      </c>
      <c r="H14" s="18" t="s">
        <v>146</v>
      </c>
      <c r="I14" s="18" t="s">
        <v>147</v>
      </c>
      <c r="J14" s="18" t="s">
        <v>148</v>
      </c>
      <c r="K14" s="18" t="s">
        <v>149</v>
      </c>
    </row>
    <row r="15" customFormat="false" ht="78" hidden="false" customHeight="true" outlineLevel="0" collapsed="false">
      <c r="A15" s="20" t="n">
        <v>10</v>
      </c>
      <c r="B15" s="21" t="n">
        <f aca="false">$B$3+9</f>
        <v>46246</v>
      </c>
      <c r="C15" s="22" t="s">
        <v>98</v>
      </c>
      <c r="D15" s="23" t="s">
        <v>99</v>
      </c>
      <c r="E15" s="22" t="s">
        <v>39</v>
      </c>
      <c r="F15" s="22" t="s">
        <v>100</v>
      </c>
      <c r="G15" s="22" t="s">
        <v>150</v>
      </c>
      <c r="H15" s="22" t="s">
        <v>151</v>
      </c>
      <c r="I15" s="22" t="s">
        <v>152</v>
      </c>
      <c r="J15" s="22" t="s">
        <v>153</v>
      </c>
      <c r="K15" s="22" t="s">
        <v>154</v>
      </c>
    </row>
    <row r="16" customFormat="false" ht="78" hidden="false" customHeight="true" outlineLevel="0" collapsed="false">
      <c r="A16" s="24" t="n">
        <v>11</v>
      </c>
      <c r="B16" s="25" t="n">
        <f aca="false">$B$3+10</f>
        <v>46247</v>
      </c>
      <c r="C16" s="26" t="s">
        <v>106</v>
      </c>
      <c r="D16" s="27" t="s">
        <v>107</v>
      </c>
      <c r="E16" s="26" t="s">
        <v>37</v>
      </c>
      <c r="F16" s="26" t="s">
        <v>108</v>
      </c>
      <c r="G16" s="26" t="s">
        <v>155</v>
      </c>
      <c r="H16" s="26" t="s">
        <v>156</v>
      </c>
      <c r="I16" s="26" t="s">
        <v>157</v>
      </c>
      <c r="J16" s="26" t="s">
        <v>158</v>
      </c>
      <c r="K16" s="26" t="s">
        <v>159</v>
      </c>
    </row>
    <row r="17" customFormat="false" ht="78" hidden="false" customHeight="true" outlineLevel="0" collapsed="false">
      <c r="A17" s="28" t="n">
        <v>12</v>
      </c>
      <c r="B17" s="29" t="n">
        <f aca="false">$B$3+11</f>
        <v>46248</v>
      </c>
      <c r="C17" s="30" t="s">
        <v>114</v>
      </c>
      <c r="D17" s="31" t="s">
        <v>115</v>
      </c>
      <c r="E17" s="30" t="s">
        <v>91</v>
      </c>
      <c r="F17" s="30" t="s">
        <v>116</v>
      </c>
      <c r="G17" s="30" t="s">
        <v>160</v>
      </c>
      <c r="H17" s="30" t="s">
        <v>161</v>
      </c>
      <c r="I17" s="30" t="s">
        <v>162</v>
      </c>
      <c r="J17" s="30" t="s">
        <v>163</v>
      </c>
      <c r="K17" s="30" t="s">
        <v>164</v>
      </c>
    </row>
    <row r="18" customFormat="false" ht="78" hidden="false" customHeight="true" outlineLevel="0" collapsed="false">
      <c r="A18" s="32" t="n">
        <v>13</v>
      </c>
      <c r="B18" s="33" t="n">
        <f aca="false">$B$3+12</f>
        <v>46249</v>
      </c>
      <c r="C18" s="34" t="s">
        <v>122</v>
      </c>
      <c r="D18" s="35" t="s">
        <v>123</v>
      </c>
      <c r="E18" s="34" t="s">
        <v>124</v>
      </c>
      <c r="F18" s="34" t="s">
        <v>125</v>
      </c>
      <c r="G18" s="34" t="s">
        <v>165</v>
      </c>
      <c r="H18" s="34" t="s">
        <v>166</v>
      </c>
      <c r="I18" s="34" t="s">
        <v>167</v>
      </c>
      <c r="J18" s="34" t="s">
        <v>168</v>
      </c>
      <c r="K18" s="34" t="s">
        <v>169</v>
      </c>
    </row>
    <row r="19" customFormat="false" ht="78" hidden="false" customHeight="true" outlineLevel="0" collapsed="false">
      <c r="A19" s="36" t="n">
        <v>14</v>
      </c>
      <c r="B19" s="37" t="n">
        <f aca="false">$B$3+13</f>
        <v>46250</v>
      </c>
      <c r="C19" s="38" t="s">
        <v>131</v>
      </c>
      <c r="D19" s="39" t="s">
        <v>132</v>
      </c>
      <c r="E19" s="38" t="s">
        <v>133</v>
      </c>
      <c r="F19" s="38" t="s">
        <v>134</v>
      </c>
      <c r="G19" s="38" t="s">
        <v>170</v>
      </c>
      <c r="H19" s="38" t="s">
        <v>171</v>
      </c>
      <c r="I19" s="38" t="s">
        <v>172</v>
      </c>
      <c r="J19" s="38" t="s">
        <v>173</v>
      </c>
      <c r="K19" s="38" t="s">
        <v>174</v>
      </c>
    </row>
    <row r="20" customFormat="false" ht="78" hidden="false" customHeight="true" outlineLevel="0" collapsed="false">
      <c r="A20" s="12" t="n">
        <v>15</v>
      </c>
      <c r="B20" s="13" t="n">
        <f aca="false">$B$3+14</f>
        <v>46251</v>
      </c>
      <c r="C20" s="14" t="s">
        <v>81</v>
      </c>
      <c r="D20" s="15" t="s">
        <v>82</v>
      </c>
      <c r="E20" s="14" t="s">
        <v>37</v>
      </c>
      <c r="F20" s="14" t="s">
        <v>83</v>
      </c>
      <c r="G20" s="14" t="s">
        <v>175</v>
      </c>
      <c r="H20" s="14" t="s">
        <v>176</v>
      </c>
      <c r="I20" s="14" t="s">
        <v>177</v>
      </c>
      <c r="J20" s="14" t="s">
        <v>178</v>
      </c>
      <c r="K20" s="14" t="s">
        <v>179</v>
      </c>
    </row>
    <row r="21" customFormat="false" ht="78" hidden="false" customHeight="true" outlineLevel="0" collapsed="false">
      <c r="A21" s="16" t="n">
        <v>16</v>
      </c>
      <c r="B21" s="17" t="n">
        <f aca="false">$B$3+15</f>
        <v>46252</v>
      </c>
      <c r="C21" s="18" t="s">
        <v>89</v>
      </c>
      <c r="D21" s="19" t="s">
        <v>90</v>
      </c>
      <c r="E21" s="18" t="s">
        <v>91</v>
      </c>
      <c r="F21" s="18" t="s">
        <v>92</v>
      </c>
      <c r="G21" s="18" t="s">
        <v>180</v>
      </c>
      <c r="H21" s="18" t="s">
        <v>181</v>
      </c>
      <c r="I21" s="18" t="s">
        <v>182</v>
      </c>
      <c r="J21" s="18" t="s">
        <v>183</v>
      </c>
      <c r="K21" s="18" t="s">
        <v>184</v>
      </c>
    </row>
    <row r="22" customFormat="false" ht="78" hidden="false" customHeight="true" outlineLevel="0" collapsed="false">
      <c r="A22" s="20" t="n">
        <v>17</v>
      </c>
      <c r="B22" s="21" t="n">
        <f aca="false">$B$3+16</f>
        <v>46253</v>
      </c>
      <c r="C22" s="22" t="s">
        <v>98</v>
      </c>
      <c r="D22" s="23" t="s">
        <v>99</v>
      </c>
      <c r="E22" s="22" t="s">
        <v>39</v>
      </c>
      <c r="F22" s="22" t="s">
        <v>100</v>
      </c>
      <c r="G22" s="22" t="s">
        <v>185</v>
      </c>
      <c r="H22" s="22" t="s">
        <v>186</v>
      </c>
      <c r="I22" s="22" t="s">
        <v>187</v>
      </c>
      <c r="J22" s="22" t="s">
        <v>188</v>
      </c>
      <c r="K22" s="22" t="s">
        <v>189</v>
      </c>
    </row>
    <row r="23" customFormat="false" ht="78" hidden="false" customHeight="true" outlineLevel="0" collapsed="false">
      <c r="A23" s="24" t="n">
        <v>18</v>
      </c>
      <c r="B23" s="25" t="n">
        <f aca="false">$B$3+17</f>
        <v>46254</v>
      </c>
      <c r="C23" s="26" t="s">
        <v>106</v>
      </c>
      <c r="D23" s="27" t="s">
        <v>107</v>
      </c>
      <c r="E23" s="26" t="s">
        <v>37</v>
      </c>
      <c r="F23" s="26" t="s">
        <v>108</v>
      </c>
      <c r="G23" s="26" t="s">
        <v>190</v>
      </c>
      <c r="H23" s="26" t="s">
        <v>191</v>
      </c>
      <c r="I23" s="26" t="s">
        <v>192</v>
      </c>
      <c r="J23" s="26" t="s">
        <v>193</v>
      </c>
      <c r="K23" s="26" t="s">
        <v>194</v>
      </c>
    </row>
    <row r="24" customFormat="false" ht="78" hidden="false" customHeight="true" outlineLevel="0" collapsed="false">
      <c r="A24" s="28" t="n">
        <v>19</v>
      </c>
      <c r="B24" s="29" t="n">
        <f aca="false">$B$3+18</f>
        <v>46255</v>
      </c>
      <c r="C24" s="30" t="s">
        <v>114</v>
      </c>
      <c r="D24" s="31" t="s">
        <v>115</v>
      </c>
      <c r="E24" s="30" t="s">
        <v>91</v>
      </c>
      <c r="F24" s="30" t="s">
        <v>116</v>
      </c>
      <c r="G24" s="30" t="s">
        <v>195</v>
      </c>
      <c r="H24" s="30" t="s">
        <v>196</v>
      </c>
      <c r="I24" s="30" t="s">
        <v>197</v>
      </c>
      <c r="J24" s="30" t="s">
        <v>198</v>
      </c>
      <c r="K24" s="30" t="s">
        <v>199</v>
      </c>
    </row>
    <row r="25" customFormat="false" ht="78" hidden="false" customHeight="true" outlineLevel="0" collapsed="false">
      <c r="A25" s="32" t="n">
        <v>20</v>
      </c>
      <c r="B25" s="33" t="n">
        <f aca="false">$B$3+19</f>
        <v>46256</v>
      </c>
      <c r="C25" s="34" t="s">
        <v>122</v>
      </c>
      <c r="D25" s="35" t="s">
        <v>123</v>
      </c>
      <c r="E25" s="34" t="s">
        <v>124</v>
      </c>
      <c r="F25" s="34" t="s">
        <v>125</v>
      </c>
      <c r="G25" s="34" t="s">
        <v>200</v>
      </c>
      <c r="H25" s="34" t="s">
        <v>201</v>
      </c>
      <c r="I25" s="34" t="s">
        <v>202</v>
      </c>
      <c r="J25" s="34" t="s">
        <v>203</v>
      </c>
      <c r="K25" s="34" t="s">
        <v>204</v>
      </c>
    </row>
    <row r="26" customFormat="false" ht="78" hidden="false" customHeight="true" outlineLevel="0" collapsed="false">
      <c r="A26" s="36" t="n">
        <v>21</v>
      </c>
      <c r="B26" s="37" t="n">
        <f aca="false">$B$3+20</f>
        <v>46257</v>
      </c>
      <c r="C26" s="38" t="s">
        <v>131</v>
      </c>
      <c r="D26" s="39" t="s">
        <v>132</v>
      </c>
      <c r="E26" s="38" t="s">
        <v>133</v>
      </c>
      <c r="F26" s="38" t="s">
        <v>134</v>
      </c>
      <c r="G26" s="38" t="s">
        <v>205</v>
      </c>
      <c r="H26" s="38" t="s">
        <v>206</v>
      </c>
      <c r="I26" s="38" t="s">
        <v>207</v>
      </c>
      <c r="J26" s="38" t="s">
        <v>208</v>
      </c>
      <c r="K26" s="38" t="s">
        <v>209</v>
      </c>
    </row>
    <row r="27" customFormat="false" ht="78" hidden="false" customHeight="true" outlineLevel="0" collapsed="false">
      <c r="A27" s="12" t="n">
        <v>22</v>
      </c>
      <c r="B27" s="13" t="n">
        <f aca="false">$B$3+21</f>
        <v>46258</v>
      </c>
      <c r="C27" s="14" t="s">
        <v>81</v>
      </c>
      <c r="D27" s="15" t="s">
        <v>82</v>
      </c>
      <c r="E27" s="14" t="s">
        <v>37</v>
      </c>
      <c r="F27" s="14" t="s">
        <v>83</v>
      </c>
      <c r="G27" s="14" t="s">
        <v>210</v>
      </c>
      <c r="H27" s="14" t="s">
        <v>211</v>
      </c>
      <c r="I27" s="14" t="s">
        <v>212</v>
      </c>
      <c r="J27" s="14" t="s">
        <v>213</v>
      </c>
      <c r="K27" s="14" t="s">
        <v>214</v>
      </c>
    </row>
    <row r="28" customFormat="false" ht="78" hidden="false" customHeight="true" outlineLevel="0" collapsed="false">
      <c r="A28" s="16" t="n">
        <v>23</v>
      </c>
      <c r="B28" s="17" t="n">
        <f aca="false">$B$3+22</f>
        <v>46259</v>
      </c>
      <c r="C28" s="18" t="s">
        <v>89</v>
      </c>
      <c r="D28" s="19" t="s">
        <v>90</v>
      </c>
      <c r="E28" s="18" t="s">
        <v>91</v>
      </c>
      <c r="F28" s="18" t="s">
        <v>92</v>
      </c>
      <c r="G28" s="18" t="s">
        <v>215</v>
      </c>
      <c r="H28" s="18" t="s">
        <v>216</v>
      </c>
      <c r="I28" s="18" t="s">
        <v>217</v>
      </c>
      <c r="J28" s="18" t="s">
        <v>218</v>
      </c>
      <c r="K28" s="18" t="s">
        <v>219</v>
      </c>
    </row>
    <row r="29" customFormat="false" ht="78" hidden="false" customHeight="true" outlineLevel="0" collapsed="false">
      <c r="A29" s="20" t="n">
        <v>24</v>
      </c>
      <c r="B29" s="21" t="n">
        <f aca="false">$B$3+23</f>
        <v>46260</v>
      </c>
      <c r="C29" s="22" t="s">
        <v>98</v>
      </c>
      <c r="D29" s="23" t="s">
        <v>99</v>
      </c>
      <c r="E29" s="22" t="s">
        <v>39</v>
      </c>
      <c r="F29" s="22" t="s">
        <v>100</v>
      </c>
      <c r="G29" s="22" t="s">
        <v>220</v>
      </c>
      <c r="H29" s="22" t="s">
        <v>221</v>
      </c>
      <c r="I29" s="22" t="s">
        <v>222</v>
      </c>
      <c r="J29" s="22" t="s">
        <v>223</v>
      </c>
      <c r="K29" s="22" t="s">
        <v>224</v>
      </c>
    </row>
    <row r="30" customFormat="false" ht="78" hidden="false" customHeight="true" outlineLevel="0" collapsed="false">
      <c r="A30" s="24" t="n">
        <v>25</v>
      </c>
      <c r="B30" s="25" t="n">
        <f aca="false">$B$3+24</f>
        <v>46261</v>
      </c>
      <c r="C30" s="26" t="s">
        <v>106</v>
      </c>
      <c r="D30" s="27" t="s">
        <v>107</v>
      </c>
      <c r="E30" s="26" t="s">
        <v>37</v>
      </c>
      <c r="F30" s="26" t="s">
        <v>108</v>
      </c>
      <c r="G30" s="26" t="s">
        <v>225</v>
      </c>
      <c r="H30" s="26" t="s">
        <v>226</v>
      </c>
      <c r="I30" s="26" t="s">
        <v>227</v>
      </c>
      <c r="J30" s="26" t="s">
        <v>228</v>
      </c>
      <c r="K30" s="26" t="s">
        <v>229</v>
      </c>
    </row>
    <row r="31" customFormat="false" ht="78" hidden="false" customHeight="true" outlineLevel="0" collapsed="false">
      <c r="A31" s="28" t="n">
        <v>26</v>
      </c>
      <c r="B31" s="29" t="n">
        <f aca="false">$B$3+25</f>
        <v>46262</v>
      </c>
      <c r="C31" s="30" t="s">
        <v>114</v>
      </c>
      <c r="D31" s="31" t="s">
        <v>115</v>
      </c>
      <c r="E31" s="30" t="s">
        <v>91</v>
      </c>
      <c r="F31" s="30" t="s">
        <v>116</v>
      </c>
      <c r="G31" s="30" t="s">
        <v>230</v>
      </c>
      <c r="H31" s="30" t="s">
        <v>231</v>
      </c>
      <c r="I31" s="30" t="s">
        <v>232</v>
      </c>
      <c r="J31" s="30" t="s">
        <v>233</v>
      </c>
      <c r="K31" s="30" t="s">
        <v>234</v>
      </c>
    </row>
    <row r="32" customFormat="false" ht="78" hidden="false" customHeight="true" outlineLevel="0" collapsed="false">
      <c r="A32" s="32" t="n">
        <v>27</v>
      </c>
      <c r="B32" s="33" t="n">
        <f aca="false">$B$3+26</f>
        <v>46263</v>
      </c>
      <c r="C32" s="34" t="s">
        <v>122</v>
      </c>
      <c r="D32" s="35" t="s">
        <v>123</v>
      </c>
      <c r="E32" s="34" t="s">
        <v>124</v>
      </c>
      <c r="F32" s="34" t="s">
        <v>125</v>
      </c>
      <c r="G32" s="34" t="s">
        <v>235</v>
      </c>
      <c r="H32" s="34" t="s">
        <v>236</v>
      </c>
      <c r="I32" s="34" t="s">
        <v>237</v>
      </c>
      <c r="J32" s="34" t="s">
        <v>238</v>
      </c>
      <c r="K32" s="34" t="s">
        <v>239</v>
      </c>
    </row>
    <row r="33" customFormat="false" ht="78" hidden="false" customHeight="true" outlineLevel="0" collapsed="false">
      <c r="A33" s="36" t="n">
        <v>28</v>
      </c>
      <c r="B33" s="37" t="n">
        <f aca="false">$B$3+27</f>
        <v>46264</v>
      </c>
      <c r="C33" s="38" t="s">
        <v>131</v>
      </c>
      <c r="D33" s="39" t="s">
        <v>132</v>
      </c>
      <c r="E33" s="38" t="s">
        <v>133</v>
      </c>
      <c r="F33" s="38" t="s">
        <v>134</v>
      </c>
      <c r="G33" s="38" t="s">
        <v>240</v>
      </c>
      <c r="H33" s="38" t="s">
        <v>241</v>
      </c>
      <c r="I33" s="38" t="s">
        <v>242</v>
      </c>
      <c r="J33" s="38" t="s">
        <v>243</v>
      </c>
      <c r="K33" s="38" t="s">
        <v>244</v>
      </c>
    </row>
    <row r="34" customFormat="false" ht="78" hidden="false" customHeight="true" outlineLevel="0" collapsed="false">
      <c r="A34" s="12" t="n">
        <v>29</v>
      </c>
      <c r="B34" s="13" t="n">
        <f aca="false">$B$3+28</f>
        <v>46265</v>
      </c>
      <c r="C34" s="14" t="s">
        <v>81</v>
      </c>
      <c r="D34" s="15" t="s">
        <v>82</v>
      </c>
      <c r="E34" s="14" t="s">
        <v>37</v>
      </c>
      <c r="F34" s="14" t="s">
        <v>83</v>
      </c>
      <c r="G34" s="14" t="s">
        <v>245</v>
      </c>
      <c r="H34" s="14" t="s">
        <v>246</v>
      </c>
      <c r="I34" s="14" t="s">
        <v>247</v>
      </c>
      <c r="J34" s="14" t="s">
        <v>248</v>
      </c>
      <c r="K34" s="14" t="s">
        <v>249</v>
      </c>
    </row>
    <row r="35" customFormat="false" ht="78" hidden="false" customHeight="true" outlineLevel="0" collapsed="false">
      <c r="A35" s="16" t="n">
        <v>30</v>
      </c>
      <c r="B35" s="17" t="n">
        <f aca="false">$B$3+29</f>
        <v>46266</v>
      </c>
      <c r="C35" s="18" t="s">
        <v>89</v>
      </c>
      <c r="D35" s="19" t="s">
        <v>90</v>
      </c>
      <c r="E35" s="18" t="s">
        <v>91</v>
      </c>
      <c r="F35" s="18" t="s">
        <v>92</v>
      </c>
      <c r="G35" s="18" t="s">
        <v>250</v>
      </c>
      <c r="H35" s="18" t="s">
        <v>251</v>
      </c>
      <c r="I35" s="18" t="s">
        <v>252</v>
      </c>
      <c r="J35" s="18" t="s">
        <v>253</v>
      </c>
      <c r="K35" s="18" t="s">
        <v>254</v>
      </c>
    </row>
    <row r="36" customFormat="false" ht="78" hidden="false" customHeight="true" outlineLevel="0" collapsed="false">
      <c r="A36" s="20" t="n">
        <v>31</v>
      </c>
      <c r="B36" s="21" t="n">
        <f aca="false">$B$3+30</f>
        <v>46267</v>
      </c>
      <c r="C36" s="22" t="s">
        <v>98</v>
      </c>
      <c r="D36" s="23" t="s">
        <v>99</v>
      </c>
      <c r="E36" s="22" t="s">
        <v>39</v>
      </c>
      <c r="F36" s="22" t="s">
        <v>100</v>
      </c>
      <c r="G36" s="22" t="s">
        <v>255</v>
      </c>
      <c r="H36" s="22" t="s">
        <v>256</v>
      </c>
      <c r="I36" s="22" t="s">
        <v>257</v>
      </c>
      <c r="J36" s="22" t="s">
        <v>258</v>
      </c>
      <c r="K36" s="22" t="s">
        <v>259</v>
      </c>
    </row>
    <row r="37" customFormat="false" ht="78" hidden="false" customHeight="true" outlineLevel="0" collapsed="false">
      <c r="A37" s="24" t="n">
        <v>32</v>
      </c>
      <c r="B37" s="25" t="n">
        <f aca="false">$B$3+31</f>
        <v>46268</v>
      </c>
      <c r="C37" s="26" t="s">
        <v>106</v>
      </c>
      <c r="D37" s="27" t="s">
        <v>107</v>
      </c>
      <c r="E37" s="26" t="s">
        <v>37</v>
      </c>
      <c r="F37" s="26" t="s">
        <v>108</v>
      </c>
      <c r="G37" s="26" t="s">
        <v>260</v>
      </c>
      <c r="H37" s="26" t="s">
        <v>261</v>
      </c>
      <c r="I37" s="26" t="s">
        <v>262</v>
      </c>
      <c r="J37" s="26" t="s">
        <v>263</v>
      </c>
      <c r="K37" s="26" t="s">
        <v>264</v>
      </c>
    </row>
    <row r="38" customFormat="false" ht="78" hidden="false" customHeight="true" outlineLevel="0" collapsed="false">
      <c r="A38" s="28" t="n">
        <v>33</v>
      </c>
      <c r="B38" s="29" t="n">
        <f aca="false">$B$3+32</f>
        <v>46269</v>
      </c>
      <c r="C38" s="30" t="s">
        <v>114</v>
      </c>
      <c r="D38" s="31" t="s">
        <v>115</v>
      </c>
      <c r="E38" s="30" t="s">
        <v>91</v>
      </c>
      <c r="F38" s="30" t="s">
        <v>116</v>
      </c>
      <c r="G38" s="30" t="s">
        <v>265</v>
      </c>
      <c r="H38" s="30" t="s">
        <v>266</v>
      </c>
      <c r="I38" s="30" t="s">
        <v>267</v>
      </c>
      <c r="J38" s="30" t="s">
        <v>268</v>
      </c>
      <c r="K38" s="30" t="s">
        <v>269</v>
      </c>
    </row>
    <row r="39" customFormat="false" ht="78" hidden="false" customHeight="true" outlineLevel="0" collapsed="false">
      <c r="A39" s="32" t="n">
        <v>34</v>
      </c>
      <c r="B39" s="33" t="n">
        <f aca="false">$B$3+33</f>
        <v>46270</v>
      </c>
      <c r="C39" s="34" t="s">
        <v>122</v>
      </c>
      <c r="D39" s="35" t="s">
        <v>123</v>
      </c>
      <c r="E39" s="34" t="s">
        <v>124</v>
      </c>
      <c r="F39" s="34" t="s">
        <v>125</v>
      </c>
      <c r="G39" s="34" t="s">
        <v>270</v>
      </c>
      <c r="H39" s="34" t="s">
        <v>271</v>
      </c>
      <c r="I39" s="34" t="s">
        <v>272</v>
      </c>
      <c r="J39" s="34" t="s">
        <v>273</v>
      </c>
      <c r="K39" s="34" t="s">
        <v>274</v>
      </c>
    </row>
    <row r="40" customFormat="false" ht="78" hidden="false" customHeight="true" outlineLevel="0" collapsed="false">
      <c r="A40" s="36" t="n">
        <v>35</v>
      </c>
      <c r="B40" s="37" t="n">
        <f aca="false">$B$3+34</f>
        <v>46271</v>
      </c>
      <c r="C40" s="38" t="s">
        <v>131</v>
      </c>
      <c r="D40" s="39" t="s">
        <v>132</v>
      </c>
      <c r="E40" s="38" t="s">
        <v>133</v>
      </c>
      <c r="F40" s="38" t="s">
        <v>134</v>
      </c>
      <c r="G40" s="38" t="s">
        <v>275</v>
      </c>
      <c r="H40" s="38" t="s">
        <v>276</v>
      </c>
      <c r="I40" s="38" t="s">
        <v>277</v>
      </c>
      <c r="J40" s="38" t="s">
        <v>278</v>
      </c>
      <c r="K40" s="38" t="s">
        <v>279</v>
      </c>
    </row>
    <row r="41" customFormat="false" ht="78" hidden="false" customHeight="true" outlineLevel="0" collapsed="false">
      <c r="A41" s="12" t="n">
        <v>36</v>
      </c>
      <c r="B41" s="13" t="n">
        <f aca="false">$B$3+35</f>
        <v>46272</v>
      </c>
      <c r="C41" s="14" t="s">
        <v>81</v>
      </c>
      <c r="D41" s="15" t="s">
        <v>82</v>
      </c>
      <c r="E41" s="14" t="s">
        <v>37</v>
      </c>
      <c r="F41" s="14" t="s">
        <v>83</v>
      </c>
      <c r="G41" s="14" t="s">
        <v>280</v>
      </c>
      <c r="H41" s="14" t="s">
        <v>281</v>
      </c>
      <c r="I41" s="14" t="s">
        <v>282</v>
      </c>
      <c r="J41" s="14" t="s">
        <v>283</v>
      </c>
      <c r="K41" s="14" t="s">
        <v>284</v>
      </c>
    </row>
    <row r="42" customFormat="false" ht="78" hidden="false" customHeight="true" outlineLevel="0" collapsed="false">
      <c r="A42" s="16" t="n">
        <v>37</v>
      </c>
      <c r="B42" s="17" t="n">
        <f aca="false">$B$3+36</f>
        <v>46273</v>
      </c>
      <c r="C42" s="18" t="s">
        <v>89</v>
      </c>
      <c r="D42" s="19" t="s">
        <v>90</v>
      </c>
      <c r="E42" s="18" t="s">
        <v>91</v>
      </c>
      <c r="F42" s="18" t="s">
        <v>92</v>
      </c>
      <c r="G42" s="18" t="s">
        <v>285</v>
      </c>
      <c r="H42" s="18" t="s">
        <v>286</v>
      </c>
      <c r="I42" s="18" t="s">
        <v>287</v>
      </c>
      <c r="J42" s="18" t="s">
        <v>288</v>
      </c>
      <c r="K42" s="18" t="s">
        <v>289</v>
      </c>
    </row>
    <row r="43" customFormat="false" ht="78" hidden="false" customHeight="true" outlineLevel="0" collapsed="false">
      <c r="A43" s="20" t="n">
        <v>38</v>
      </c>
      <c r="B43" s="21" t="n">
        <f aca="false">$B$3+37</f>
        <v>46274</v>
      </c>
      <c r="C43" s="22" t="s">
        <v>98</v>
      </c>
      <c r="D43" s="23" t="s">
        <v>99</v>
      </c>
      <c r="E43" s="22" t="s">
        <v>39</v>
      </c>
      <c r="F43" s="22" t="s">
        <v>100</v>
      </c>
      <c r="G43" s="22" t="s">
        <v>290</v>
      </c>
      <c r="H43" s="22" t="s">
        <v>291</v>
      </c>
      <c r="I43" s="22" t="s">
        <v>292</v>
      </c>
      <c r="J43" s="22" t="s">
        <v>293</v>
      </c>
      <c r="K43" s="22" t="s">
        <v>294</v>
      </c>
    </row>
    <row r="44" customFormat="false" ht="78" hidden="false" customHeight="true" outlineLevel="0" collapsed="false">
      <c r="A44" s="24" t="n">
        <v>39</v>
      </c>
      <c r="B44" s="25" t="n">
        <f aca="false">$B$3+38</f>
        <v>46275</v>
      </c>
      <c r="C44" s="26" t="s">
        <v>106</v>
      </c>
      <c r="D44" s="27" t="s">
        <v>107</v>
      </c>
      <c r="E44" s="26" t="s">
        <v>37</v>
      </c>
      <c r="F44" s="26" t="s">
        <v>108</v>
      </c>
      <c r="G44" s="26" t="s">
        <v>295</v>
      </c>
      <c r="H44" s="26" t="s">
        <v>296</v>
      </c>
      <c r="I44" s="26" t="s">
        <v>297</v>
      </c>
      <c r="J44" s="26" t="s">
        <v>298</v>
      </c>
      <c r="K44" s="26" t="s">
        <v>299</v>
      </c>
    </row>
    <row r="45" customFormat="false" ht="78" hidden="false" customHeight="true" outlineLevel="0" collapsed="false">
      <c r="A45" s="28" t="n">
        <v>40</v>
      </c>
      <c r="B45" s="29" t="n">
        <f aca="false">$B$3+39</f>
        <v>46276</v>
      </c>
      <c r="C45" s="30" t="s">
        <v>114</v>
      </c>
      <c r="D45" s="31" t="s">
        <v>115</v>
      </c>
      <c r="E45" s="30" t="s">
        <v>91</v>
      </c>
      <c r="F45" s="30" t="s">
        <v>116</v>
      </c>
      <c r="G45" s="30" t="s">
        <v>300</v>
      </c>
      <c r="H45" s="30" t="s">
        <v>301</v>
      </c>
      <c r="I45" s="30" t="s">
        <v>302</v>
      </c>
      <c r="J45" s="30" t="s">
        <v>303</v>
      </c>
      <c r="K45" s="30" t="s">
        <v>304</v>
      </c>
    </row>
    <row r="46" customFormat="false" ht="78" hidden="false" customHeight="true" outlineLevel="0" collapsed="false">
      <c r="A46" s="32" t="n">
        <v>41</v>
      </c>
      <c r="B46" s="33" t="n">
        <f aca="false">$B$3+40</f>
        <v>46277</v>
      </c>
      <c r="C46" s="34" t="s">
        <v>122</v>
      </c>
      <c r="D46" s="35" t="s">
        <v>123</v>
      </c>
      <c r="E46" s="34" t="s">
        <v>124</v>
      </c>
      <c r="F46" s="34" t="s">
        <v>125</v>
      </c>
      <c r="G46" s="34" t="s">
        <v>305</v>
      </c>
      <c r="H46" s="34" t="s">
        <v>306</v>
      </c>
      <c r="I46" s="34" t="s">
        <v>307</v>
      </c>
      <c r="J46" s="34" t="s">
        <v>308</v>
      </c>
      <c r="K46" s="34" t="s">
        <v>309</v>
      </c>
    </row>
    <row r="47" customFormat="false" ht="78" hidden="false" customHeight="true" outlineLevel="0" collapsed="false">
      <c r="A47" s="36" t="n">
        <v>42</v>
      </c>
      <c r="B47" s="37" t="n">
        <f aca="false">$B$3+41</f>
        <v>46278</v>
      </c>
      <c r="C47" s="38" t="s">
        <v>131</v>
      </c>
      <c r="D47" s="39" t="s">
        <v>132</v>
      </c>
      <c r="E47" s="38" t="s">
        <v>133</v>
      </c>
      <c r="F47" s="38" t="s">
        <v>134</v>
      </c>
      <c r="G47" s="38" t="s">
        <v>310</v>
      </c>
      <c r="H47" s="38" t="s">
        <v>311</v>
      </c>
      <c r="I47" s="38" t="s">
        <v>312</v>
      </c>
      <c r="J47" s="38" t="s">
        <v>313</v>
      </c>
      <c r="K47" s="38" t="s">
        <v>314</v>
      </c>
    </row>
    <row r="48" customFormat="false" ht="78" hidden="false" customHeight="true" outlineLevel="0" collapsed="false">
      <c r="A48" s="12" t="n">
        <v>43</v>
      </c>
      <c r="B48" s="13" t="n">
        <f aca="false">$B$3+42</f>
        <v>46279</v>
      </c>
      <c r="C48" s="14" t="s">
        <v>81</v>
      </c>
      <c r="D48" s="15" t="s">
        <v>82</v>
      </c>
      <c r="E48" s="14" t="s">
        <v>37</v>
      </c>
      <c r="F48" s="14" t="s">
        <v>83</v>
      </c>
      <c r="G48" s="14" t="s">
        <v>315</v>
      </c>
      <c r="H48" s="14" t="s">
        <v>316</v>
      </c>
      <c r="I48" s="14" t="s">
        <v>317</v>
      </c>
      <c r="J48" s="14" t="s">
        <v>318</v>
      </c>
      <c r="K48" s="14" t="s">
        <v>214</v>
      </c>
    </row>
    <row r="49" customFormat="false" ht="78" hidden="false" customHeight="true" outlineLevel="0" collapsed="false">
      <c r="A49" s="16" t="n">
        <v>44</v>
      </c>
      <c r="B49" s="17" t="n">
        <f aca="false">$B$3+43</f>
        <v>46280</v>
      </c>
      <c r="C49" s="18" t="s">
        <v>89</v>
      </c>
      <c r="D49" s="19" t="s">
        <v>90</v>
      </c>
      <c r="E49" s="18" t="s">
        <v>91</v>
      </c>
      <c r="F49" s="18" t="s">
        <v>92</v>
      </c>
      <c r="G49" s="18" t="s">
        <v>319</v>
      </c>
      <c r="H49" s="18" t="s">
        <v>320</v>
      </c>
      <c r="I49" s="18" t="s">
        <v>321</v>
      </c>
      <c r="J49" s="18" t="s">
        <v>322</v>
      </c>
      <c r="K49" s="18" t="s">
        <v>323</v>
      </c>
    </row>
    <row r="50" customFormat="false" ht="78" hidden="false" customHeight="true" outlineLevel="0" collapsed="false">
      <c r="A50" s="20" t="n">
        <v>45</v>
      </c>
      <c r="B50" s="21" t="n">
        <f aca="false">$B$3+44</f>
        <v>46281</v>
      </c>
      <c r="C50" s="22" t="s">
        <v>98</v>
      </c>
      <c r="D50" s="23" t="s">
        <v>99</v>
      </c>
      <c r="E50" s="22" t="s">
        <v>39</v>
      </c>
      <c r="F50" s="22" t="s">
        <v>100</v>
      </c>
      <c r="G50" s="22" t="s">
        <v>324</v>
      </c>
      <c r="H50" s="22" t="s">
        <v>325</v>
      </c>
      <c r="I50" s="22" t="s">
        <v>326</v>
      </c>
      <c r="J50" s="22" t="s">
        <v>327</v>
      </c>
      <c r="K50" s="22" t="s">
        <v>328</v>
      </c>
    </row>
    <row r="51" customFormat="false" ht="78" hidden="false" customHeight="true" outlineLevel="0" collapsed="false">
      <c r="A51" s="24" t="n">
        <v>46</v>
      </c>
      <c r="B51" s="25" t="n">
        <f aca="false">$B$3+45</f>
        <v>46282</v>
      </c>
      <c r="C51" s="26" t="s">
        <v>106</v>
      </c>
      <c r="D51" s="27" t="s">
        <v>107</v>
      </c>
      <c r="E51" s="26" t="s">
        <v>37</v>
      </c>
      <c r="F51" s="26" t="s">
        <v>108</v>
      </c>
      <c r="G51" s="26" t="s">
        <v>329</v>
      </c>
      <c r="H51" s="26" t="s">
        <v>330</v>
      </c>
      <c r="I51" s="26" t="s">
        <v>331</v>
      </c>
      <c r="J51" s="26" t="s">
        <v>332</v>
      </c>
      <c r="K51" s="26" t="s">
        <v>333</v>
      </c>
    </row>
    <row r="52" customFormat="false" ht="78" hidden="false" customHeight="true" outlineLevel="0" collapsed="false">
      <c r="A52" s="28" t="n">
        <v>47</v>
      </c>
      <c r="B52" s="29" t="n">
        <f aca="false">$B$3+46</f>
        <v>46283</v>
      </c>
      <c r="C52" s="30" t="s">
        <v>114</v>
      </c>
      <c r="D52" s="31" t="s">
        <v>115</v>
      </c>
      <c r="E52" s="30" t="s">
        <v>91</v>
      </c>
      <c r="F52" s="30" t="s">
        <v>116</v>
      </c>
      <c r="G52" s="30" t="s">
        <v>334</v>
      </c>
      <c r="H52" s="30" t="s">
        <v>335</v>
      </c>
      <c r="I52" s="30" t="s">
        <v>336</v>
      </c>
      <c r="J52" s="30" t="s">
        <v>337</v>
      </c>
      <c r="K52" s="30" t="s">
        <v>338</v>
      </c>
    </row>
    <row r="53" customFormat="false" ht="78" hidden="false" customHeight="true" outlineLevel="0" collapsed="false">
      <c r="A53" s="32" t="n">
        <v>48</v>
      </c>
      <c r="B53" s="33" t="n">
        <f aca="false">$B$3+47</f>
        <v>46284</v>
      </c>
      <c r="C53" s="34" t="s">
        <v>122</v>
      </c>
      <c r="D53" s="35" t="s">
        <v>123</v>
      </c>
      <c r="E53" s="34" t="s">
        <v>124</v>
      </c>
      <c r="F53" s="34" t="s">
        <v>125</v>
      </c>
      <c r="G53" s="34" t="s">
        <v>339</v>
      </c>
      <c r="H53" s="34" t="s">
        <v>340</v>
      </c>
      <c r="I53" s="34" t="s">
        <v>341</v>
      </c>
      <c r="J53" s="34" t="s">
        <v>342</v>
      </c>
      <c r="K53" s="34" t="s">
        <v>343</v>
      </c>
    </row>
    <row r="54" customFormat="false" ht="78" hidden="false" customHeight="true" outlineLevel="0" collapsed="false">
      <c r="A54" s="36" t="n">
        <v>49</v>
      </c>
      <c r="B54" s="37" t="n">
        <f aca="false">$B$3+48</f>
        <v>46285</v>
      </c>
      <c r="C54" s="38" t="s">
        <v>131</v>
      </c>
      <c r="D54" s="39" t="s">
        <v>132</v>
      </c>
      <c r="E54" s="38" t="s">
        <v>133</v>
      </c>
      <c r="F54" s="38" t="s">
        <v>134</v>
      </c>
      <c r="G54" s="38" t="s">
        <v>344</v>
      </c>
      <c r="H54" s="38" t="s">
        <v>345</v>
      </c>
      <c r="I54" s="38" t="s">
        <v>346</v>
      </c>
      <c r="J54" s="38" t="s">
        <v>347</v>
      </c>
      <c r="K54" s="38" t="s">
        <v>348</v>
      </c>
    </row>
    <row r="55" customFormat="false" ht="78" hidden="false" customHeight="true" outlineLevel="0" collapsed="false">
      <c r="A55" s="12" t="n">
        <v>50</v>
      </c>
      <c r="B55" s="13" t="n">
        <f aca="false">$B$3+49</f>
        <v>46286</v>
      </c>
      <c r="C55" s="14" t="s">
        <v>81</v>
      </c>
      <c r="D55" s="15" t="s">
        <v>82</v>
      </c>
      <c r="E55" s="14" t="s">
        <v>37</v>
      </c>
      <c r="F55" s="14" t="s">
        <v>83</v>
      </c>
      <c r="G55" s="14" t="s">
        <v>349</v>
      </c>
      <c r="H55" s="14" t="s">
        <v>350</v>
      </c>
      <c r="I55" s="14" t="s">
        <v>351</v>
      </c>
      <c r="J55" s="14" t="s">
        <v>352</v>
      </c>
      <c r="K55" s="14" t="s">
        <v>353</v>
      </c>
    </row>
    <row r="56" customFormat="false" ht="78" hidden="false" customHeight="true" outlineLevel="0" collapsed="false">
      <c r="A56" s="16" t="n">
        <v>51</v>
      </c>
      <c r="B56" s="17" t="n">
        <f aca="false">$B$3+50</f>
        <v>46287</v>
      </c>
      <c r="C56" s="18" t="s">
        <v>89</v>
      </c>
      <c r="D56" s="19" t="s">
        <v>90</v>
      </c>
      <c r="E56" s="18" t="s">
        <v>91</v>
      </c>
      <c r="F56" s="18" t="s">
        <v>92</v>
      </c>
      <c r="G56" s="18" t="s">
        <v>354</v>
      </c>
      <c r="H56" s="18" t="s">
        <v>355</v>
      </c>
      <c r="I56" s="18" t="s">
        <v>356</v>
      </c>
      <c r="J56" s="18" t="s">
        <v>357</v>
      </c>
      <c r="K56" s="18" t="s">
        <v>358</v>
      </c>
    </row>
    <row r="57" customFormat="false" ht="78" hidden="false" customHeight="true" outlineLevel="0" collapsed="false">
      <c r="A57" s="20" t="n">
        <v>52</v>
      </c>
      <c r="B57" s="21" t="n">
        <f aca="false">$B$3+51</f>
        <v>46288</v>
      </c>
      <c r="C57" s="22" t="s">
        <v>98</v>
      </c>
      <c r="D57" s="23" t="s">
        <v>99</v>
      </c>
      <c r="E57" s="22" t="s">
        <v>39</v>
      </c>
      <c r="F57" s="22" t="s">
        <v>100</v>
      </c>
      <c r="G57" s="22" t="s">
        <v>359</v>
      </c>
      <c r="H57" s="22" t="s">
        <v>360</v>
      </c>
      <c r="I57" s="22" t="s">
        <v>361</v>
      </c>
      <c r="J57" s="22" t="s">
        <v>362</v>
      </c>
      <c r="K57" s="22" t="s">
        <v>363</v>
      </c>
    </row>
    <row r="58" customFormat="false" ht="78" hidden="false" customHeight="true" outlineLevel="0" collapsed="false">
      <c r="A58" s="24" t="n">
        <v>53</v>
      </c>
      <c r="B58" s="25" t="n">
        <f aca="false">$B$3+52</f>
        <v>46289</v>
      </c>
      <c r="C58" s="26" t="s">
        <v>106</v>
      </c>
      <c r="D58" s="27" t="s">
        <v>107</v>
      </c>
      <c r="E58" s="26" t="s">
        <v>37</v>
      </c>
      <c r="F58" s="26" t="s">
        <v>108</v>
      </c>
      <c r="G58" s="26" t="s">
        <v>364</v>
      </c>
      <c r="H58" s="26" t="s">
        <v>365</v>
      </c>
      <c r="I58" s="26" t="s">
        <v>366</v>
      </c>
      <c r="J58" s="26" t="s">
        <v>367</v>
      </c>
      <c r="K58" s="26" t="s">
        <v>368</v>
      </c>
    </row>
    <row r="59" customFormat="false" ht="78" hidden="false" customHeight="true" outlineLevel="0" collapsed="false">
      <c r="A59" s="28" t="n">
        <v>54</v>
      </c>
      <c r="B59" s="29" t="n">
        <f aca="false">$B$3+53</f>
        <v>46290</v>
      </c>
      <c r="C59" s="30" t="s">
        <v>114</v>
      </c>
      <c r="D59" s="31" t="s">
        <v>115</v>
      </c>
      <c r="E59" s="30" t="s">
        <v>91</v>
      </c>
      <c r="F59" s="30" t="s">
        <v>116</v>
      </c>
      <c r="G59" s="30" t="s">
        <v>369</v>
      </c>
      <c r="H59" s="30" t="s">
        <v>370</v>
      </c>
      <c r="I59" s="30" t="s">
        <v>371</v>
      </c>
      <c r="J59" s="30" t="s">
        <v>372</v>
      </c>
      <c r="K59" s="30" t="s">
        <v>373</v>
      </c>
    </row>
    <row r="60" customFormat="false" ht="78" hidden="false" customHeight="true" outlineLevel="0" collapsed="false">
      <c r="A60" s="32" t="n">
        <v>55</v>
      </c>
      <c r="B60" s="33" t="n">
        <f aca="false">$B$3+54</f>
        <v>46291</v>
      </c>
      <c r="C60" s="34" t="s">
        <v>122</v>
      </c>
      <c r="D60" s="35" t="s">
        <v>123</v>
      </c>
      <c r="E60" s="34" t="s">
        <v>124</v>
      </c>
      <c r="F60" s="34" t="s">
        <v>125</v>
      </c>
      <c r="G60" s="34" t="s">
        <v>374</v>
      </c>
      <c r="H60" s="34" t="s">
        <v>375</v>
      </c>
      <c r="I60" s="34" t="s">
        <v>376</v>
      </c>
      <c r="J60" s="34" t="s">
        <v>377</v>
      </c>
      <c r="K60" s="34" t="s">
        <v>378</v>
      </c>
    </row>
    <row r="61" customFormat="false" ht="78" hidden="false" customHeight="true" outlineLevel="0" collapsed="false">
      <c r="A61" s="36" t="n">
        <v>56</v>
      </c>
      <c r="B61" s="37" t="n">
        <f aca="false">$B$3+55</f>
        <v>46292</v>
      </c>
      <c r="C61" s="38" t="s">
        <v>131</v>
      </c>
      <c r="D61" s="39" t="s">
        <v>132</v>
      </c>
      <c r="E61" s="38" t="s">
        <v>133</v>
      </c>
      <c r="F61" s="38" t="s">
        <v>134</v>
      </c>
      <c r="G61" s="38" t="s">
        <v>379</v>
      </c>
      <c r="H61" s="38" t="s">
        <v>380</v>
      </c>
      <c r="I61" s="38" t="s">
        <v>381</v>
      </c>
      <c r="J61" s="38" t="s">
        <v>382</v>
      </c>
      <c r="K61" s="38" t="s">
        <v>383</v>
      </c>
    </row>
    <row r="62" customFormat="false" ht="78" hidden="false" customHeight="true" outlineLevel="0" collapsed="false">
      <c r="A62" s="12" t="n">
        <v>57</v>
      </c>
      <c r="B62" s="13" t="n">
        <f aca="false">$B$3+56</f>
        <v>46293</v>
      </c>
      <c r="C62" s="14" t="s">
        <v>81</v>
      </c>
      <c r="D62" s="15" t="s">
        <v>82</v>
      </c>
      <c r="E62" s="14" t="s">
        <v>37</v>
      </c>
      <c r="F62" s="14" t="s">
        <v>83</v>
      </c>
      <c r="G62" s="14" t="s">
        <v>384</v>
      </c>
      <c r="H62" s="14" t="s">
        <v>385</v>
      </c>
      <c r="I62" s="14" t="s">
        <v>386</v>
      </c>
      <c r="J62" s="14" t="s">
        <v>387</v>
      </c>
      <c r="K62" s="14" t="s">
        <v>388</v>
      </c>
    </row>
    <row r="63" customFormat="false" ht="78" hidden="false" customHeight="true" outlineLevel="0" collapsed="false">
      <c r="A63" s="16" t="n">
        <v>58</v>
      </c>
      <c r="B63" s="17" t="n">
        <f aca="false">$B$3+57</f>
        <v>46294</v>
      </c>
      <c r="C63" s="18" t="s">
        <v>89</v>
      </c>
      <c r="D63" s="19" t="s">
        <v>90</v>
      </c>
      <c r="E63" s="18" t="s">
        <v>91</v>
      </c>
      <c r="F63" s="18" t="s">
        <v>92</v>
      </c>
      <c r="G63" s="18" t="s">
        <v>389</v>
      </c>
      <c r="H63" s="18" t="s">
        <v>390</v>
      </c>
      <c r="I63" s="18" t="s">
        <v>391</v>
      </c>
      <c r="J63" s="18" t="s">
        <v>392</v>
      </c>
      <c r="K63" s="18" t="s">
        <v>393</v>
      </c>
    </row>
    <row r="64" customFormat="false" ht="78" hidden="false" customHeight="true" outlineLevel="0" collapsed="false">
      <c r="A64" s="20" t="n">
        <v>59</v>
      </c>
      <c r="B64" s="21" t="n">
        <f aca="false">$B$3+58</f>
        <v>46295</v>
      </c>
      <c r="C64" s="22" t="s">
        <v>98</v>
      </c>
      <c r="D64" s="23" t="s">
        <v>99</v>
      </c>
      <c r="E64" s="22" t="s">
        <v>39</v>
      </c>
      <c r="F64" s="22" t="s">
        <v>100</v>
      </c>
      <c r="G64" s="22" t="s">
        <v>394</v>
      </c>
      <c r="H64" s="22" t="s">
        <v>395</v>
      </c>
      <c r="I64" s="22" t="s">
        <v>396</v>
      </c>
      <c r="J64" s="22" t="s">
        <v>397</v>
      </c>
      <c r="K64" s="22" t="s">
        <v>398</v>
      </c>
    </row>
    <row r="65" customFormat="false" ht="78" hidden="false" customHeight="true" outlineLevel="0" collapsed="false">
      <c r="A65" s="24" t="n">
        <v>60</v>
      </c>
      <c r="B65" s="25" t="n">
        <f aca="false">$B$3+59</f>
        <v>46296</v>
      </c>
      <c r="C65" s="26" t="s">
        <v>106</v>
      </c>
      <c r="D65" s="27" t="s">
        <v>107</v>
      </c>
      <c r="E65" s="26" t="s">
        <v>37</v>
      </c>
      <c r="F65" s="26" t="s">
        <v>108</v>
      </c>
      <c r="G65" s="26" t="s">
        <v>399</v>
      </c>
      <c r="H65" s="26" t="s">
        <v>400</v>
      </c>
      <c r="I65" s="26" t="s">
        <v>401</v>
      </c>
      <c r="J65" s="26" t="s">
        <v>402</v>
      </c>
      <c r="K65" s="26" t="s">
        <v>403</v>
      </c>
    </row>
  </sheetData>
  <autoFilter ref="A5:K65"/>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2026-07-16T06:08:18Z</dcterms:created>
  <dc:creator>openpyxl</dc:creator>
  <dc:description/>
  <dc:language>en-US</dc:language>
  <cp:lastModifiedBy/>
  <dcterms:modified xsi:type="dcterms:W3CDTF">2026-07-16T06:08:18Z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